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G:\Meu Drive\UEPB\20262\GP\"/>
    </mc:Choice>
  </mc:AlternateContent>
  <xr:revisionPtr revIDLastSave="0" documentId="8_{543AB685-4234-4F03-8F7A-0A30E7C13A0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Orientações" sheetId="1" r:id="rId1"/>
    <sheet name="Riscos" sheetId="2" r:id="rId2"/>
    <sheet name="Exemplo" sheetId="3" r:id="rId3"/>
  </sheets>
  <calcPr calcId="191029" fullCalcOnLoad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" i="2" l="1"/>
  <c r="K26" i="2" s="1"/>
  <c r="I25" i="2"/>
  <c r="K25" i="2" s="1"/>
  <c r="I24" i="2"/>
  <c r="K24" i="2" s="1"/>
  <c r="I18" i="2"/>
  <c r="K18" i="2" s="1"/>
  <c r="I17" i="2"/>
  <c r="K17" i="2" s="1"/>
  <c r="I16" i="2"/>
  <c r="K16" i="2" s="1"/>
  <c r="I10" i="2"/>
  <c r="K10" i="2" s="1"/>
  <c r="I9" i="2"/>
  <c r="K9" i="2" s="1"/>
  <c r="I8" i="2"/>
  <c r="K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I7" authorId="0" shapeId="0" xr:uid="{00000000-0006-0000-0100-000001000000}">
      <text>
        <r>
          <rPr>
            <sz val="10"/>
            <color rgb="FF000000"/>
            <rFont val="Arial"/>
          </rPr>
          <t>Risco = P x 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I6" authorId="0" shapeId="0" xr:uid="{00000000-0006-0000-0200-000001000000}">
      <text>
        <r>
          <rPr>
            <sz val="10"/>
            <color rgb="FF000000"/>
            <rFont val="Arial"/>
          </rPr>
          <t>Risco = P x S</t>
        </r>
      </text>
    </comment>
    <comment ref="I13" authorId="0" shapeId="0" xr:uid="{00000000-0006-0000-0200-000002000000}">
      <text>
        <r>
          <rPr>
            <sz val="10"/>
            <color rgb="FF000000"/>
            <rFont val="Arial"/>
          </rPr>
          <t>Risco = P x S</t>
        </r>
      </text>
    </comment>
  </commentList>
</comments>
</file>

<file path=xl/sharedStrings.xml><?xml version="1.0" encoding="utf-8"?>
<sst xmlns="http://schemas.openxmlformats.org/spreadsheetml/2006/main" count="172" uniqueCount="120">
  <si>
    <t>ATIVIDADE 0.3 – ANÁLISE DE RISCOS BASEADA EM DEFEITOS</t>
  </si>
  <si>
    <t>Como funciona</t>
  </si>
  <si>
    <t>Onde preencher</t>
  </si>
  <si>
    <t>Aba "Riscos": um bloco por atributo de qualidade, uma linha por integrante. Troque &lt;&lt; Nome do Sistema &gt;&gt; e &lt;&lt; Atributo de Qualidade &gt;&gt; em cada bloco. A aba "Exemplo" mostra dois casos preenchidos.</t>
  </si>
  <si>
    <t>PASSO A PASSO</t>
  </si>
  <si>
    <t>1. Atributo (Parâmetro)</t>
  </si>
  <si>
    <t>Defina os 3 atributos de qualidade do projeto e escreva-os no cabeçalho de cada bloco.</t>
  </si>
  <si>
    <t>2. Palavra Guia</t>
  </si>
  <si>
    <t>3. Defeito</t>
  </si>
  <si>
    <t>Descreva o que pode dar errado no sistema relacionado ao atributo, aplicando a palavra guia. Ex.: "Um produto errado ser entregue ao cliente".</t>
  </si>
  <si>
    <t>4. Causa</t>
  </si>
  <si>
    <t>Por que o defeito ocorreria (falha de implementação, de dado, de processo, de integração…).</t>
  </si>
  <si>
    <t>5. Detecção</t>
  </si>
  <si>
    <t>Como o defeito seria percebido ou testado (teste funcional, exploratório, revisão, monitoramento, verificação de código…).</t>
  </si>
  <si>
    <t>6. Consequências</t>
  </si>
  <si>
    <t>O impacto no usuário e no negócio caso o defeito ocorra.</t>
  </si>
  <si>
    <t>7. P e S</t>
  </si>
  <si>
    <t>Atribua P (probabilidade) e S (severidade) de 1 a 5 conforme as escalas abaixo. A coluna Risco é calculada sozinha.</t>
  </si>
  <si>
    <t>8. Providências</t>
  </si>
  <si>
    <t>9. Entrega</t>
  </si>
  <si>
    <t>ESCALAS (seguem a matriz de impactos da aba Riscos)</t>
  </si>
  <si>
    <t>P – Probabilidade</t>
  </si>
  <si>
    <t>Significado</t>
  </si>
  <si>
    <t>1 – Muito provável</t>
  </si>
  <si>
    <t>Deve acontecer; já ocorreu em projetos parecidos</t>
  </si>
  <si>
    <t>2 – Provável</t>
  </si>
  <si>
    <t>Acontece com frequência</t>
  </si>
  <si>
    <t>3 – Possível</t>
  </si>
  <si>
    <t>Pode acontecer em algum momento</t>
  </si>
  <si>
    <t>4 – Improvável</t>
  </si>
  <si>
    <t>Pouco provável, mas possível</t>
  </si>
  <si>
    <t>5 – Muito improvável</t>
  </si>
  <si>
    <t>Só em situações excepcionais</t>
  </si>
  <si>
    <t>S – Severidade</t>
  </si>
  <si>
    <t>1 – Leve</t>
  </si>
  <si>
    <t>Incômodo, sem perda de funcionalidade</t>
  </si>
  <si>
    <t>2 – Menor</t>
  </si>
  <si>
    <t>Afeta pouco o uso; contorno simples</t>
  </si>
  <si>
    <t>3 – Significativa</t>
  </si>
  <si>
    <t>Compromete uma funcionalidade importante</t>
  </si>
  <si>
    <t>4 – Grave</t>
  </si>
  <si>
    <t>Compromete o objetivo do sistema ou causa perdas relevantes</t>
  </si>
  <si>
    <t>5 – Maior</t>
  </si>
  <si>
    <t>Inviabiliza o sistema, causa dano grave ou expõe dados</t>
  </si>
  <si>
    <t>COMO LER O RISCO</t>
  </si>
  <si>
    <t>Risco = (6 − P) × S</t>
  </si>
  <si>
    <t>Fórmula da matriz de impactos: P = 1 (muito provável) pesa mais que P = 5. Exemplo: P = 1 e S = 3 resulta em Risco 15.</t>
  </si>
  <si>
    <t>Risco de 1 a 5 (verde)</t>
  </si>
  <si>
    <t>Estratégia: Monitorar / Prevenir.</t>
  </si>
  <si>
    <t>Risco de 6 a 12 (amarelo)</t>
  </si>
  <si>
    <t>Estratégia: Mitigar / Prevenir.</t>
  </si>
  <si>
    <t>Risco de 15 a 25 (vermelho)</t>
  </si>
  <si>
    <t>Estratégia: Evitar. Obrigatório ter providência clara e priorizada no backlog.</t>
  </si>
  <si>
    <t>CHECKLIST DA ENTREGA</t>
  </si>
  <si>
    <t>[ ] 3 atributos de qualidade definidos e escritos nos blocos</t>
  </si>
  <si>
    <t>[ ] Palavra guia escolhida em todos os riscos</t>
  </si>
  <si>
    <t>[ ] Defeito, causa, detecção e consequências preenchidos de forma específica ao projeto</t>
  </si>
  <si>
    <t>[ ] P e S atribuídos (1 a 5) e Risco calculado</t>
  </si>
  <si>
    <t>[ ] Providência concreta para cada risco, com responsável e sprint</t>
  </si>
  <si>
    <t>ANÁLISE DE RISCOS QUALITATIVA BASEADA EM DEFEITOS</t>
  </si>
  <si>
    <t>Risco 1 a 5: Monitorar / Prevenir</t>
  </si>
  <si>
    <t>Risco 6 a 12: Mitigar / Prevenir</t>
  </si>
  <si>
    <t>Risco 15 a 25: Evitar</t>
  </si>
  <si>
    <t>Sistema: &lt;&lt; Nome do Sistema &gt;&gt;</t>
  </si>
  <si>
    <t>Palavras Guia:</t>
  </si>
  <si>
    <t>Parâmetro: &lt;&lt; Atributo de Qualidade 1 &gt;&gt;</t>
  </si>
  <si>
    <t>Nenhum</t>
  </si>
  <si>
    <t>Mais</t>
  </si>
  <si>
    <t>Responsável</t>
  </si>
  <si>
    <t>Palavra Guia</t>
  </si>
  <si>
    <t>Defeito</t>
  </si>
  <si>
    <t>Causa</t>
  </si>
  <si>
    <t>Detecção</t>
  </si>
  <si>
    <t>Consequências</t>
  </si>
  <si>
    <t>P</t>
  </si>
  <si>
    <t>S</t>
  </si>
  <si>
    <t>Risco</t>
  </si>
  <si>
    <t>Providências</t>
  </si>
  <si>
    <t>Estratégia</t>
  </si>
  <si>
    <t>Menos</t>
  </si>
  <si>
    <t>Integrante 1</t>
  </si>
  <si>
    <t>Parte de</t>
  </si>
  <si>
    <t>Integrante 2</t>
  </si>
  <si>
    <t>Tanto quanto</t>
  </si>
  <si>
    <t>Integrante 3</t>
  </si>
  <si>
    <t>Reverso</t>
  </si>
  <si>
    <t>Substituição</t>
  </si>
  <si>
    <t>Antes</t>
  </si>
  <si>
    <t>Depois</t>
  </si>
  <si>
    <t>Parâmetro: &lt;&lt; Atributo de Qualidade 2 &gt;&gt;</t>
  </si>
  <si>
    <t>Mais cedo</t>
  </si>
  <si>
    <t>Mais tarde</t>
  </si>
  <si>
    <t>Parâmetro: &lt;&lt; Atributo de Qualidade 3 &gt;&gt;</t>
  </si>
  <si>
    <t>Sistema: Vendas de Hortifruti</t>
  </si>
  <si>
    <t>Parâmetro: Segurança do Pedido</t>
  </si>
  <si>
    <t>Um produto errado ser entregue ao cliente</t>
  </si>
  <si>
    <t>Troca de produtos</t>
  </si>
  <si>
    <t>Duplo check dos produtos</t>
  </si>
  <si>
    <t>Perder a confiança do cliente, o cliente devolver a compra, perda financeira, atraso</t>
  </si>
  <si>
    <t>Implementar um esquema de monitoramento dos pedidos com dupla checagem para garantir que o cliente não receba errado</t>
  </si>
  <si>
    <t>Um produto ser entregue ao cliente errado</t>
  </si>
  <si>
    <t>Troca de Clientes</t>
  </si>
  <si>
    <t>Verificação do código do cliente</t>
  </si>
  <si>
    <t>Perder a confiança do cliente, perda de produtos, porque o cliente que não recebeu precisará receber e nada garante que o que recebeu devolva</t>
  </si>
  <si>
    <t>Implementar uma verificação do código do cliente com o pedido realizado.</t>
  </si>
  <si>
    <t>Sistema: Emprestimos de Comics books</t>
  </si>
  <si>
    <t>Parâmetro: Confiabilidade no Emprestimo</t>
  </si>
  <si>
    <t>O número total de livros não ser atualizado depois que o emprestimo foi devolvido.</t>
  </si>
  <si>
    <t>falha na conexão com o BD/ falha na implementação da devolução do comic book</t>
  </si>
  <si>
    <t>Monitorar acesso ao BD/ Teste Funcional e Exploratório para devolução de livros</t>
  </si>
  <si>
    <t>Não é possivel emprestar o valor atual de livros desponíveis</t>
  </si>
  <si>
    <t>Implementar testes de unidade para verificar se atualização do objeto no banco de dados é realizado com sucesso</t>
  </si>
  <si>
    <t>Cada equipe escolhe 3 atributos de qualidade para o projeto (ex.: Segurança, Confiabilidade, Usabilidade, Desempenho). Cada integrante identifica, analisa e define a resposta para 1 risco por atributo. Equipe de 3 = 9 riscos; equipe de 2 = 6 riscos.</t>
  </si>
  <si>
    <t>Escolha na lista (coluna M) a palavra que orienta o raciocínio do defeito: Nenhum, Mais, Menos, Parte de, Tanto quanto, Reverso, Substituição, Antes, Depois, Mais cedo, Mais tarde.</t>
  </si>
  <si>
    <t>A ação concreta da equipe para tratar o risco (teste de unidade, validação, monitoramento, mudança de projeto…). Vire uma issue no Azure/ Jira com responsável e sprint.</t>
  </si>
  <si>
    <t>Salve a planilha no Jira/ Azure na Epic Risco. Os riscos com estratégia "Evitar" ou "Mitigar" entram no backlog como tarefas.</t>
  </si>
  <si>
    <t>[ ] 1 risco por integrante em cada atributo (9 riscos para 3 integrantes; 6 para 2)</t>
  </si>
  <si>
    <t>[ ] Riscos vermelhos tratados em issues no Jira/Azure</t>
  </si>
  <si>
    <t>[ ] Planilha salva no Jira/Azure</t>
  </si>
  <si>
    <t>[ ] Professora e monitora com acesso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</si>
</sst>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</font>
    <font>
      <b/>
      <sz val="10"/>
      <color theme="1"/>
      <name val="Montserrat"/>
    </font>
    <font>
      <sz val="10"/>
      <name val="Arial"/>
    </font>
    <font>
      <b/>
      <sz val="10"/>
      <color theme="1"/>
      <name val="Arial"/>
    </font>
    <font>
      <sz val="10"/>
      <color theme="1"/>
      <name val="Arial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FFFFFF"/>
      <name val="Arial"/>
    </font>
    <font>
      <b/>
      <sz val="9"/>
      <color rgb="FF000000"/>
      <name val="Arial"/>
    </font>
    <font>
      <i/>
      <sz val="9"/>
      <name val="Arial"/>
    </font>
    <font>
      <b/>
      <sz val="13"/>
      <name val="Arial"/>
    </font>
    <font>
      <b/>
      <sz val="10"/>
      <name val="Arial"/>
    </font>
    <font>
      <sz val="10"/>
      <name val="Arial"/>
    </font>
  </fonts>
  <fills count="9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999999"/>
        <bgColor rgb="FF999999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6AA84F"/>
      </patternFill>
    </fill>
    <fill>
      <patternFill patternType="solid">
        <fgColor rgb="FFD9EAD3"/>
      </patternFill>
    </fill>
    <fill>
      <patternFill patternType="solid">
        <fgColor rgb="FF999999"/>
      </patternFill>
    </fill>
  </fills>
  <borders count="15">
    <border>
      <left/>
      <right/>
      <top/>
      <bottom/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3" fillId="0" borderId="0" xfId="0" applyFont="1"/>
    <xf numFmtId="0" fontId="3" fillId="3" borderId="4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4" fillId="0" borderId="0" xfId="0" applyFont="1"/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5" fillId="0" borderId="0" xfId="0" applyFont="1"/>
    <xf numFmtId="0" fontId="6" fillId="0" borderId="0" xfId="0" applyFont="1"/>
    <xf numFmtId="0" fontId="1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1" fillId="8" borderId="0" xfId="0" applyFont="1" applyFill="1"/>
    <xf numFmtId="0" fontId="7" fillId="4" borderId="0" xfId="0" applyFont="1" applyFill="1" applyAlignment="1">
      <alignment horizontal="center" vertical="center"/>
    </xf>
    <xf numFmtId="0" fontId="9" fillId="0" borderId="0" xfId="0" applyFont="1"/>
    <xf numFmtId="0" fontId="4" fillId="0" borderId="4" xfId="0" applyFont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12" fillId="0" borderId="0" xfId="0" applyFont="1" applyAlignment="1">
      <alignment vertical="top" wrapText="1"/>
    </xf>
    <xf numFmtId="0" fontId="0" fillId="0" borderId="0" xfId="0"/>
    <xf numFmtId="0" fontId="10" fillId="7" borderId="0" xfId="0" applyFont="1" applyFill="1"/>
    <xf numFmtId="0" fontId="3" fillId="0" borderId="13" xfId="0" applyFont="1" applyBorder="1"/>
    <xf numFmtId="0" fontId="7" fillId="6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3" fillId="0" borderId="5" xfId="0" applyFont="1" applyBorder="1"/>
    <xf numFmtId="0" fontId="0" fillId="0" borderId="3" xfId="0" applyBorder="1"/>
    <xf numFmtId="0" fontId="0" fillId="0" borderId="8" xfId="0" applyBorder="1"/>
    <xf numFmtId="0" fontId="4" fillId="0" borderId="10" xfId="0" applyFont="1" applyBorder="1"/>
    <xf numFmtId="0" fontId="0" fillId="0" borderId="9" xfId="0" applyBorder="1"/>
    <xf numFmtId="0" fontId="0" fillId="0" borderId="10" xfId="0" applyBorder="1"/>
    <xf numFmtId="0" fontId="4" fillId="0" borderId="5" xfId="0" applyFont="1" applyBorder="1" applyAlignment="1">
      <alignment horizontal="center" vertical="center" wrapText="1"/>
    </xf>
    <xf numFmtId="0" fontId="0" fillId="0" borderId="12" xfId="0" applyBorder="1"/>
    <xf numFmtId="0" fontId="4" fillId="0" borderId="5" xfId="0" applyFont="1" applyBorder="1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9">
    <dxf>
      <fill>
        <patternFill patternType="solid">
          <fgColor rgb="FF6AA84F"/>
          <bgColor rgb="FF6AA84F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6AA84F"/>
          <bgColor rgb="FF6AA84F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6AA84F"/>
          <bgColor rgb="FF6AA84F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285750</xdr:colOff>
      <xdr:row>27</xdr:row>
      <xdr:rowOff>47625</xdr:rowOff>
    </xdr:from>
    <xdr:ext cx="6076950" cy="456247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C47"/>
  <sheetViews>
    <sheetView showGridLines="0" tabSelected="1" workbookViewId="0">
      <selection activeCell="B48" sqref="B48"/>
    </sheetView>
  </sheetViews>
  <sheetFormatPr defaultRowHeight="13.2" x14ac:dyDescent="0.25"/>
  <cols>
    <col min="1" max="1" width="3" customWidth="1"/>
    <col min="2" max="2" width="26" customWidth="1"/>
    <col min="3" max="3" width="95" customWidth="1"/>
  </cols>
  <sheetData>
    <row r="2" spans="2:3" ht="16.8" x14ac:dyDescent="0.3">
      <c r="B2" s="23" t="s">
        <v>0</v>
      </c>
      <c r="C2" s="22"/>
    </row>
    <row r="3" spans="2:3" ht="48" customHeight="1" x14ac:dyDescent="0.25">
      <c r="B3" s="13" t="s">
        <v>1</v>
      </c>
      <c r="C3" s="14" t="s">
        <v>112</v>
      </c>
    </row>
    <row r="4" spans="2:3" ht="34.049999999999997" customHeight="1" x14ac:dyDescent="0.25">
      <c r="B4" s="13" t="s">
        <v>2</v>
      </c>
      <c r="C4" s="14" t="s">
        <v>3</v>
      </c>
    </row>
    <row r="6" spans="2:3" ht="16.8" x14ac:dyDescent="0.3">
      <c r="B6" s="23" t="s">
        <v>4</v>
      </c>
      <c r="C6" s="22"/>
    </row>
    <row r="7" spans="2:3" x14ac:dyDescent="0.25">
      <c r="B7" s="13" t="s">
        <v>5</v>
      </c>
      <c r="C7" s="14" t="s">
        <v>6</v>
      </c>
    </row>
    <row r="8" spans="2:3" ht="34.049999999999997" customHeight="1" x14ac:dyDescent="0.25">
      <c r="B8" s="13" t="s">
        <v>7</v>
      </c>
      <c r="C8" s="14" t="s">
        <v>113</v>
      </c>
    </row>
    <row r="9" spans="2:3" ht="34.049999999999997" customHeight="1" x14ac:dyDescent="0.25">
      <c r="B9" s="13" t="s">
        <v>8</v>
      </c>
      <c r="C9" s="14" t="s">
        <v>9</v>
      </c>
    </row>
    <row r="10" spans="2:3" x14ac:dyDescent="0.25">
      <c r="B10" s="13" t="s">
        <v>10</v>
      </c>
      <c r="C10" s="14" t="s">
        <v>11</v>
      </c>
    </row>
    <row r="11" spans="2:3" ht="34.049999999999997" customHeight="1" x14ac:dyDescent="0.25">
      <c r="B11" s="13" t="s">
        <v>12</v>
      </c>
      <c r="C11" s="14" t="s">
        <v>13</v>
      </c>
    </row>
    <row r="12" spans="2:3" x14ac:dyDescent="0.25">
      <c r="B12" s="13" t="s">
        <v>14</v>
      </c>
      <c r="C12" s="14" t="s">
        <v>15</v>
      </c>
    </row>
    <row r="13" spans="2:3" ht="26.4" x14ac:dyDescent="0.25">
      <c r="B13" s="13" t="s">
        <v>16</v>
      </c>
      <c r="C13" s="14" t="s">
        <v>17</v>
      </c>
    </row>
    <row r="14" spans="2:3" ht="48" customHeight="1" x14ac:dyDescent="0.25">
      <c r="B14" s="13" t="s">
        <v>18</v>
      </c>
      <c r="C14" s="14" t="s">
        <v>114</v>
      </c>
    </row>
    <row r="15" spans="2:3" ht="34.049999999999997" customHeight="1" x14ac:dyDescent="0.25">
      <c r="B15" s="13" t="s">
        <v>19</v>
      </c>
      <c r="C15" s="14" t="s">
        <v>115</v>
      </c>
    </row>
    <row r="17" spans="2:3" ht="16.8" x14ac:dyDescent="0.3">
      <c r="B17" s="23" t="s">
        <v>20</v>
      </c>
      <c r="C17" s="22"/>
    </row>
    <row r="18" spans="2:3" x14ac:dyDescent="0.25">
      <c r="B18" s="15" t="s">
        <v>21</v>
      </c>
      <c r="C18" s="15" t="s">
        <v>22</v>
      </c>
    </row>
    <row r="19" spans="2:3" x14ac:dyDescent="0.25">
      <c r="B19" s="13" t="s">
        <v>23</v>
      </c>
      <c r="C19" s="14" t="s">
        <v>24</v>
      </c>
    </row>
    <row r="20" spans="2:3" x14ac:dyDescent="0.25">
      <c r="B20" s="13" t="s">
        <v>25</v>
      </c>
      <c r="C20" s="14" t="s">
        <v>26</v>
      </c>
    </row>
    <row r="21" spans="2:3" x14ac:dyDescent="0.25">
      <c r="B21" s="13" t="s">
        <v>27</v>
      </c>
      <c r="C21" s="14" t="s">
        <v>28</v>
      </c>
    </row>
    <row r="22" spans="2:3" x14ac:dyDescent="0.25">
      <c r="B22" s="13" t="s">
        <v>29</v>
      </c>
      <c r="C22" s="14" t="s">
        <v>30</v>
      </c>
    </row>
    <row r="23" spans="2:3" x14ac:dyDescent="0.25">
      <c r="B23" s="13" t="s">
        <v>31</v>
      </c>
      <c r="C23" s="14" t="s">
        <v>32</v>
      </c>
    </row>
    <row r="25" spans="2:3" x14ac:dyDescent="0.25">
      <c r="B25" s="15" t="s">
        <v>33</v>
      </c>
      <c r="C25" s="15" t="s">
        <v>22</v>
      </c>
    </row>
    <row r="26" spans="2:3" x14ac:dyDescent="0.25">
      <c r="B26" s="13" t="s">
        <v>34</v>
      </c>
      <c r="C26" s="14" t="s">
        <v>35</v>
      </c>
    </row>
    <row r="27" spans="2:3" x14ac:dyDescent="0.25">
      <c r="B27" s="13" t="s">
        <v>36</v>
      </c>
      <c r="C27" s="14" t="s">
        <v>37</v>
      </c>
    </row>
    <row r="28" spans="2:3" x14ac:dyDescent="0.25">
      <c r="B28" s="13" t="s">
        <v>38</v>
      </c>
      <c r="C28" s="14" t="s">
        <v>39</v>
      </c>
    </row>
    <row r="29" spans="2:3" x14ac:dyDescent="0.25">
      <c r="B29" s="13" t="s">
        <v>40</v>
      </c>
      <c r="C29" s="14" t="s">
        <v>41</v>
      </c>
    </row>
    <row r="30" spans="2:3" x14ac:dyDescent="0.25">
      <c r="B30" s="13" t="s">
        <v>42</v>
      </c>
      <c r="C30" s="14" t="s">
        <v>43</v>
      </c>
    </row>
    <row r="32" spans="2:3" ht="16.8" x14ac:dyDescent="0.3">
      <c r="B32" s="23" t="s">
        <v>44</v>
      </c>
      <c r="C32" s="22"/>
    </row>
    <row r="33" spans="2:3" ht="34.049999999999997" customHeight="1" x14ac:dyDescent="0.25">
      <c r="B33" s="13" t="s">
        <v>45</v>
      </c>
      <c r="C33" s="14" t="s">
        <v>46</v>
      </c>
    </row>
    <row r="34" spans="2:3" x14ac:dyDescent="0.25">
      <c r="B34" s="13" t="s">
        <v>47</v>
      </c>
      <c r="C34" s="14" t="s">
        <v>48</v>
      </c>
    </row>
    <row r="35" spans="2:3" x14ac:dyDescent="0.25">
      <c r="B35" s="13" t="s">
        <v>49</v>
      </c>
      <c r="C35" s="14" t="s">
        <v>50</v>
      </c>
    </row>
    <row r="36" spans="2:3" x14ac:dyDescent="0.25">
      <c r="B36" s="13" t="s">
        <v>51</v>
      </c>
      <c r="C36" s="14" t="s">
        <v>52</v>
      </c>
    </row>
    <row r="38" spans="2:3" ht="16.8" x14ac:dyDescent="0.3">
      <c r="B38" s="23" t="s">
        <v>53</v>
      </c>
      <c r="C38" s="22"/>
    </row>
    <row r="39" spans="2:3" x14ac:dyDescent="0.25">
      <c r="B39" s="21" t="s">
        <v>54</v>
      </c>
      <c r="C39" s="22"/>
    </row>
    <row r="40" spans="2:3" x14ac:dyDescent="0.25">
      <c r="B40" s="39" t="s">
        <v>116</v>
      </c>
      <c r="C40" s="22"/>
    </row>
    <row r="41" spans="2:3" x14ac:dyDescent="0.25">
      <c r="B41" s="21" t="s">
        <v>55</v>
      </c>
      <c r="C41" s="22"/>
    </row>
    <row r="42" spans="2:3" x14ac:dyDescent="0.25">
      <c r="B42" s="21" t="s">
        <v>56</v>
      </c>
      <c r="C42" s="22"/>
    </row>
    <row r="43" spans="2:3" x14ac:dyDescent="0.25">
      <c r="B43" s="21" t="s">
        <v>57</v>
      </c>
      <c r="C43" s="22"/>
    </row>
    <row r="44" spans="2:3" x14ac:dyDescent="0.25">
      <c r="B44" s="21" t="s">
        <v>58</v>
      </c>
      <c r="C44" s="22"/>
    </row>
    <row r="45" spans="2:3" x14ac:dyDescent="0.25">
      <c r="B45" s="39" t="s">
        <v>117</v>
      </c>
      <c r="C45" s="22"/>
    </row>
    <row r="46" spans="2:3" x14ac:dyDescent="0.25">
      <c r="B46" s="39" t="s">
        <v>118</v>
      </c>
      <c r="C46" s="22"/>
    </row>
    <row r="47" spans="2:3" x14ac:dyDescent="0.25">
      <c r="B47" s="39" t="s">
        <v>119</v>
      </c>
      <c r="C47" s="22"/>
    </row>
  </sheetData>
  <mergeCells count="14">
    <mergeCell ref="B47:C47"/>
    <mergeCell ref="B45:C45"/>
    <mergeCell ref="B46:C46"/>
    <mergeCell ref="B32:C32"/>
    <mergeCell ref="B17:C17"/>
    <mergeCell ref="B41:C41"/>
    <mergeCell ref="B43:C43"/>
    <mergeCell ref="B39:C39"/>
    <mergeCell ref="B6:C6"/>
    <mergeCell ref="B38:C38"/>
    <mergeCell ref="B2:C2"/>
    <mergeCell ref="B44:C44"/>
    <mergeCell ref="B40:C40"/>
    <mergeCell ref="B42:C42"/>
  </mergeCells>
  <pageMargins left="0.75" right="0.75" top="1" bottom="1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M1005"/>
  <sheetViews>
    <sheetView topLeftCell="A8" workbookViewId="0">
      <selection activeCell="F29" sqref="F29"/>
    </sheetView>
  </sheetViews>
  <sheetFormatPr defaultColWidth="14.44140625" defaultRowHeight="15" customHeight="1" x14ac:dyDescent="0.25"/>
  <cols>
    <col min="1" max="2" width="16" customWidth="1"/>
    <col min="3" max="3" width="30" customWidth="1"/>
    <col min="4" max="4" width="24" customWidth="1"/>
    <col min="5" max="5" width="26" customWidth="1"/>
    <col min="6" max="6" width="30" customWidth="1"/>
    <col min="7" max="8" width="6" customWidth="1"/>
    <col min="9" max="9" width="8" customWidth="1"/>
    <col min="10" max="10" width="42" customWidth="1"/>
    <col min="11" max="11" width="20" customWidth="1"/>
    <col min="12" max="12" width="16" customWidth="1"/>
    <col min="13" max="13" width="14" customWidth="1"/>
  </cols>
  <sheetData>
    <row r="1" spans="1:13" ht="15.75" customHeight="1" x14ac:dyDescent="0.25"/>
    <row r="2" spans="1:13" ht="29.25" customHeight="1" x14ac:dyDescent="0.25">
      <c r="B2" s="27" t="s">
        <v>59</v>
      </c>
      <c r="C2" s="28"/>
      <c r="D2" s="28"/>
      <c r="E2" s="28"/>
      <c r="F2" s="28"/>
      <c r="G2" s="28"/>
      <c r="H2" s="28"/>
      <c r="I2" s="28"/>
      <c r="J2" s="28"/>
      <c r="K2" s="29"/>
    </row>
    <row r="3" spans="1:13" ht="18" customHeight="1" x14ac:dyDescent="0.25">
      <c r="B3" s="25" t="s">
        <v>60</v>
      </c>
      <c r="C3" s="22"/>
      <c r="D3" s="26" t="s">
        <v>61</v>
      </c>
      <c r="E3" s="22"/>
      <c r="F3" s="16" t="s">
        <v>62</v>
      </c>
      <c r="G3" s="17" t="s">
        <v>45</v>
      </c>
    </row>
    <row r="4" spans="1:13" ht="15.75" customHeight="1" x14ac:dyDescent="0.25">
      <c r="B4" s="24" t="inlineStr">
        <is>
          <t xml:space="preserve">Sistema: GameKeys (loja web de jogos digitais vendidos por chave de ativação)</t>
        </is>
      </c>
      <c r="C4" s="24"/>
      <c r="D4" s="24"/>
      <c r="E4" s="24"/>
      <c r="F4" s="24"/>
      <c r="G4" s="24"/>
      <c r="H4" s="24"/>
      <c r="I4" s="24"/>
      <c r="J4" s="24"/>
      <c r="L4" s="11" t="s">
        <v>64</v>
      </c>
      <c r="M4" s="12"/>
    </row>
    <row r="5" spans="1:13" ht="15.75" customHeight="1" x14ac:dyDescent="0.25">
      <c r="B5" s="24" t="inlineStr">
        <is>
          <t xml:space="preserve">Parâmetro: Segurança</t>
        </is>
      </c>
      <c r="C5" s="24"/>
      <c r="D5" s="24"/>
      <c r="E5" s="24"/>
      <c r="F5" s="24"/>
      <c r="G5" s="24"/>
      <c r="H5" s="24"/>
      <c r="I5" s="24"/>
      <c r="J5" s="24"/>
      <c r="L5" s="12"/>
      <c r="M5" s="11" t="s">
        <v>66</v>
      </c>
    </row>
    <row r="6" spans="1:13" ht="15.75" customHeight="1" x14ac:dyDescent="0.25">
      <c r="L6" s="12"/>
      <c r="M6" s="11" t="s">
        <v>67</v>
      </c>
    </row>
    <row r="7" spans="1:13" ht="15.75" customHeight="1" x14ac:dyDescent="0.25">
      <c r="A7" s="2" t="s">
        <v>68</v>
      </c>
      <c r="B7" s="2" t="s">
        <v>69</v>
      </c>
      <c r="C7" s="2" t="s">
        <v>70</v>
      </c>
      <c r="D7" s="2" t="s">
        <v>71</v>
      </c>
      <c r="E7" s="2" t="s">
        <v>72</v>
      </c>
      <c r="F7" s="2" t="s">
        <v>73</v>
      </c>
      <c r="G7" s="2" t="s">
        <v>74</v>
      </c>
      <c r="H7" s="2" t="s">
        <v>75</v>
      </c>
      <c r="I7" s="2" t="s">
        <v>76</v>
      </c>
      <c r="J7" s="2" t="s">
        <v>77</v>
      </c>
      <c r="K7" s="2" t="s">
        <v>78</v>
      </c>
      <c r="L7" s="12"/>
      <c r="M7" s="11" t="s">
        <v>79</v>
      </c>
    </row>
    <row r="8" ht="110" customHeight="1" spans="1:13" x14ac:dyDescent="0.25">
      <c r="A8" s="18" t="inlineStr">
        <is>
          <t xml:space="preserve">Pedro (I1)</t>
        </is>
      </c>
      <c r="B8" s="18" t="inlineStr">
        <is>
          <t xml:space="preserve">Nenhum</t>
        </is>
      </c>
      <c r="C8" s="19" t="inlineStr">
        <is>
          <t xml:space="preserve">A senha do cliente ser gravada sem nenhuma proteção (texto puro) ou devolvida pela API</t>
        </is>
      </c>
      <c r="D8" s="19" t="inlineStr">
        <is>
          <t xml:space="preserve">Falha de implementação no cadastro: esquecer o hash ou incluir o campo de senha na resposta</t>
        </is>
      </c>
      <c r="E8" s="19" t="inlineStr">
        <is>
          <t xml:space="preserve">Teste automatizado (pytest) que lê o banco e a resposta do cadastro e do login; revisão de código no PR</t>
        </is>
      </c>
      <c r="F8" s="19" t="inlineStr">
        <is>
          <t xml:space="preserve">Vazamento de senhas, contas invadidas, exposição de dados pessoais e perda de confiança na loja</t>
        </is>
      </c>
      <c r="G8" s="6">
        <v>4</v>
      </c>
      <c r="H8" s="6">
        <v>5</v>
      </c>
      <c r="I8" s="6" t="str">
        <f>IF(OR(G8="",H8=""),"",(6-G8)*H8)</f>
        <v/>
      </c>
      <c r="J8" s="20" t="inlineStr">
        <is>
          <t xml:space="preserve">Hash bcrypt no cadastro e teste que garante que a senha não aparece no banco nem na resposta. Issue GK-43 (Release 1, Sprint 1). Responsável: Pedro</t>
        </is>
      </c>
      <c r="K8" s="20" t="str">
        <f>IF(I8="","",IF(I8&lt;=5,"Monitorar / Prevenir",IF(I8&lt;=12,"Mitigar / Prevenir","Evitar")))</f>
        <v/>
      </c>
      <c r="L8" s="12"/>
      <c r="M8" s="11" t="s">
        <v>81</v>
      </c>
    </row>
    <row r="9" ht="110" customHeight="1" spans="1:13" x14ac:dyDescent="0.25">
      <c r="A9" s="18" t="inlineStr">
        <is>
          <t xml:space="preserve">Wagner (I2)</t>
        </is>
      </c>
      <c r="B9" s="18" t="inlineStr">
        <is>
          <t xml:space="preserve">Mais</t>
        </is>
      </c>
      <c r="C9" s="19" t="inlineStr">
        <is>
          <t xml:space="preserve">Um cliente ver mais do que deveria: chaves ou pedidos de outro cliente</t>
        </is>
      </c>
      <c r="D9" s="19" t="inlineStr">
        <is>
          <t xml:space="preserve">Consulta da biblioteca ou dos pedidos sem filtrar pelo usuário do token, ou id do pedido aceito na URL sem checar o dono</t>
        </is>
      </c>
      <c r="E9" s="19" t="inlineStr">
        <is>
          <t xml:space="preserve">Teste de API com dois clientes tentando abrir o pedido um do outro; teste exploratório trocando o id na URL</t>
        </is>
      </c>
      <c r="F9" s="19" t="inlineStr">
        <is>
          <t xml:space="preserve">Chave paga entregue a quem não comprou, prejuízo para o dono da conta e exposição de dados</t>
        </is>
      </c>
      <c r="G9" s="6">
        <v>3</v>
      </c>
      <c r="H9" s="6">
        <v>5</v>
      </c>
      <c r="I9" s="6" t="str">
        <f>IF(OR(G9="",H9=""),"",(6-G9)*H9)</f>
        <v/>
      </c>
      <c r="J9" s="20" t="inlineStr">
        <is>
          <t xml:space="preserve">Filtrar toda consulta de pedido e de chave pelo usuário logado e testar o acesso cruzado. Issues GK-49 e GK-17 (Release 3, Sprints 4 e 5). Responsável: Wagner</t>
        </is>
      </c>
      <c r="K9" s="20" t="str">
        <f>IF(I9="","",IF(I9&lt;=5,"Monitorar / Prevenir",IF(I9&lt;=12,"Mitigar / Prevenir","Evitar")))</f>
        <v/>
      </c>
      <c r="L9" s="12"/>
      <c r="M9" s="11" t="s">
        <v>83</v>
      </c>
    </row>
    <row r="10" ht="110" customHeight="1" spans="1:13" x14ac:dyDescent="0.25">
      <c r="A10" s="18" t="inlineStr">
        <is>
          <t xml:space="preserve">Rodrigo (I3)</t>
        </is>
      </c>
      <c r="B10" s="18" t="inlineStr">
        <is>
          <t xml:space="preserve">Mais tarde</t>
        </is>
      </c>
      <c r="C10" s="19" t="inlineStr">
        <is>
          <t xml:space="preserve">A sessão continuar válida mais tarde do que o prazo, ou uma rota de administrador aceitar o token de um cliente</t>
        </is>
      </c>
      <c r="D10" s="19" t="inlineStr">
        <is>
          <t xml:space="preserve">Validação do token JWT sem checar a expiração ou o perfil nas rotas protegidas</t>
        </is>
      </c>
      <c r="E10" s="19" t="inlineStr">
        <is>
          <t xml:space="preserve">Testes de API com token vencido, adulterado e com perfil errado em cada rota protegida</t>
        </is>
      </c>
      <c r="F10" s="19" t="inlineStr">
        <is>
          <t xml:space="preserve">Pessoa sem permissão altera jogos e chaves ou vê os pedidos de todos os clientes</t>
        </is>
      </c>
      <c r="G10" s="6">
        <v>3</v>
      </c>
      <c r="H10" s="6">
        <v>4</v>
      </c>
      <c r="I10" s="6" t="str">
        <f>IF(OR(G10="",H10=""),"",(6-G10)*H10)</f>
        <v/>
      </c>
      <c r="J10" s="20" t="inlineStr">
        <is>
          <t xml:space="preserve">Uma única verificação de autenticação que valida expiração e perfil, com teste para cada rota protegida. Issues GK-44 (Release 1, Sprint 1) e GK-50 (Release 3). Responsável: Rodrigo</t>
        </is>
      </c>
      <c r="K10" s="20" t="str">
        <f>IF(I10="","",IF(I10&lt;=5,"Monitorar / Prevenir",IF(I10&lt;=12,"Mitigar / Prevenir","Evitar")))</f>
        <v/>
      </c>
      <c r="L10" s="12"/>
      <c r="M10" s="11" t="s">
        <v>85</v>
      </c>
    </row>
    <row r="11" spans="1:13" ht="15.75" customHeight="1" thickBot="1" x14ac:dyDescent="0.3">
      <c r="L11" s="12"/>
      <c r="M11" s="11" t="s">
        <v>87</v>
      </c>
    </row>
    <row r="12" spans="1:13" ht="15.75" customHeight="1" x14ac:dyDescent="0.25">
      <c r="B12" s="24" t="inlineStr">
        <is>
          <t xml:space="preserve">Sistema: GameKeys (loja web de jogos digitais vendidos por chave de ativação)</t>
        </is>
      </c>
      <c r="C12" s="24"/>
      <c r="D12" s="24"/>
      <c r="E12" s="24"/>
      <c r="F12" s="24"/>
      <c r="G12" s="24"/>
      <c r="H12" s="24"/>
      <c r="I12" s="24"/>
      <c r="J12" s="24"/>
      <c r="L12" s="12"/>
      <c r="M12" s="11" t="s">
        <v>88</v>
      </c>
    </row>
    <row r="13" spans="1:13" ht="15.75" customHeight="1" x14ac:dyDescent="0.25">
      <c r="B13" s="24" t="inlineStr">
        <is>
          <t xml:space="preserve">Parâmetro: Confiabilidade</t>
        </is>
      </c>
      <c r="C13" s="24"/>
      <c r="D13" s="24"/>
      <c r="E13" s="24"/>
      <c r="F13" s="24"/>
      <c r="G13" s="24"/>
      <c r="H13" s="24"/>
      <c r="I13" s="24"/>
      <c r="J13" s="24"/>
      <c r="L13" s="12"/>
      <c r="M13" s="11" t="s">
        <v>90</v>
      </c>
    </row>
    <row r="14" spans="1:13" ht="15.75" customHeight="1" x14ac:dyDescent="0.25">
      <c r="L14" s="12"/>
      <c r="M14" s="11" t="s">
        <v>91</v>
      </c>
    </row>
    <row r="15" spans="1:13" ht="15.75" customHeight="1" x14ac:dyDescent="0.25">
      <c r="A15" s="2" t="s">
        <v>68</v>
      </c>
      <c r="B15" s="2" t="s">
        <v>69</v>
      </c>
      <c r="C15" s="2" t="s">
        <v>70</v>
      </c>
      <c r="D15" s="2" t="s">
        <v>71</v>
      </c>
      <c r="E15" s="2" t="s">
        <v>72</v>
      </c>
      <c r="F15" s="2" t="s">
        <v>73</v>
      </c>
      <c r="G15" s="2" t="s">
        <v>74</v>
      </c>
      <c r="H15" s="2" t="s">
        <v>75</v>
      </c>
      <c r="I15" s="2" t="s">
        <v>76</v>
      </c>
      <c r="J15" s="2" t="s">
        <v>77</v>
      </c>
      <c r="K15" s="2" t="s">
        <v>78</v>
      </c>
      <c r="M15" s="11" t="s">
        <v>86</v>
      </c>
    </row>
    <row r="16" ht="110" customHeight="1" spans="1:13" x14ac:dyDescent="0.25">
      <c r="A16" s="18" t="inlineStr">
        <is>
          <t xml:space="preserve">Pedro (I1)</t>
        </is>
      </c>
      <c r="B16" s="18" t="inlineStr">
        <is>
          <t xml:space="preserve">Mais</t>
        </is>
      </c>
      <c r="C16" s="19" t="inlineStr">
        <is>
          <t xml:space="preserve">A mesma chave de ativação ser entregue a mais de um cliente</t>
        </is>
      </c>
      <c r="D16" s="19" t="inlineStr">
        <is>
          <t xml:space="preserve">Duas compras simultâneas do último exemplar lendo a mesma chave como disponível (concorrência no checkout)</t>
        </is>
      </c>
      <c r="E16" s="19" t="inlineStr">
        <is>
          <t xml:space="preserve">Teste de concorrência com várias compras ao mesmo tempo e consulta de chaves repetidas no banco</t>
        </is>
      </c>
      <c r="F16" s="19" t="inlineStr">
        <is>
          <t xml:space="preserve">Cliente paga e recebe chave já usada: reembolso, reclamação e quebra da regra principal do sistema</t>
        </is>
      </c>
      <c r="G16" s="6">
        <v>2</v>
      </c>
      <c r="H16" s="6">
        <v>5</v>
      </c>
      <c r="I16" s="6" t="str">
        <f>IF(OR(G16="",H16=""),"",(6-G16)*H16)</f>
        <v/>
      </c>
      <c r="J16" s="20" t="inlineStr">
        <is>
          <t xml:space="preserve">Reservar a chave dentro de uma transação com bloqueio de linha (SELECT ... FOR UPDATE SKIP LOCKED) e manter o teste de concorrência no CI. Issues GK-46 e GK-15 (Release 2, Sprints 2 e 3). Responsável: Pedro</t>
        </is>
      </c>
      <c r="K16" s="20" t="str">
        <f>IF(I16="","",IF(I16&lt;=5,"Monitorar / Prevenir",IF(I16&lt;=12,"Mitigar / Prevenir","Evitar")))</f>
        <v/>
      </c>
    </row>
    <row r="17" ht="110" customHeight="1" spans="1:11" x14ac:dyDescent="0.25">
      <c r="A17" s="18" t="inlineStr">
        <is>
          <t xml:space="preserve">Wagner (I2)</t>
        </is>
      </c>
      <c r="B17" s="18" t="inlineStr">
        <is>
          <t xml:space="preserve">Depois</t>
        </is>
      </c>
      <c r="C17" s="19" t="inlineStr">
        <is>
          <t xml:space="preserve">O valor do pedido mudar depois da compra quando o administrador altera o preço do jogo</t>
        </is>
      </c>
      <c r="D17" s="19" t="inlineStr">
        <is>
          <t xml:space="preserve">O pedido calcular o total com o preço atual do jogo em vez de guardar o preço do momento da compra</t>
        </is>
      </c>
      <c r="E17" s="19" t="inlineStr">
        <is>
          <t xml:space="preserve">Teste de API: comprar, alterar o preço do jogo e conferir o pedido; revisão do modelo de dados</t>
        </is>
      </c>
      <c r="F17" s="19" t="inlineStr">
        <is>
          <t xml:space="preserve">Cliente cobrado por um valor diferente do que aceitou; histórico e indicadores de venda errados</t>
        </is>
      </c>
      <c r="G17" s="6">
        <v>3</v>
      </c>
      <c r="H17" s="6">
        <v>4</v>
      </c>
      <c r="I17" s="6" t="str">
        <f>IF(OR(G17="",H17=""),"",(6-G17)*H17)</f>
        <v/>
      </c>
      <c r="J17" s="20" t="inlineStr">
        <is>
          <t xml:space="preserve">Gravar o preço unitário no item do pedido no checkout e testar a alteração de preço depois da compra. Issues GK-47 e GK-14 (Release 2, Sprints 2 e 3). Responsável: Wagner</t>
        </is>
      </c>
      <c r="K17" s="20" t="str">
        <f>IF(I17="","",IF(I17&lt;=5,"Monitorar / Prevenir",IF(I17&lt;=12,"Mitigar / Prevenir","Evitar")))</f>
        <v/>
      </c>
    </row>
    <row r="18" ht="110" customHeight="1" spans="1:11" x14ac:dyDescent="0.25">
      <c r="A18" s="18" t="inlineStr">
        <is>
          <t xml:space="preserve">Rodrigo (I3)</t>
        </is>
      </c>
      <c r="B18" s="18" t="inlineStr">
        <is>
          <t xml:space="preserve">Parte de</t>
        </is>
      </c>
      <c r="C18" s="19" t="inlineStr">
        <is>
          <t xml:space="preserve">Só parte de um lote de chaves ser gravado quando uma linha do arquivo tem erro ou chave repetida</t>
        </is>
      </c>
      <c r="D18" s="19" t="inlineStr">
        <is>
          <t xml:space="preserve">Gravação linha a linha, sem uma transação única e sem checar chaves repetidas antes</t>
        </is>
      </c>
      <c r="E18" s="19" t="inlineStr">
        <is>
          <t xml:space="preserve">Teste com um lote que tem uma chave repetida no meio, contando as chaves antes e depois</t>
        </is>
      </c>
      <c r="F18" s="19" t="inlineStr">
        <is>
          <t xml:space="preserve">Estoque diferente do esperado, chave repetida à venda e retrabalho do administrador</t>
        </is>
      </c>
      <c r="G18" s="6">
        <v>3</v>
      </c>
      <c r="H18" s="6">
        <v>3</v>
      </c>
      <c r="I18" s="6" t="str">
        <f>IF(OR(G18="",H18=""),"",(6-G18)*H18)</f>
        <v/>
      </c>
      <c r="J18" s="20" t="inlineStr">
        <is>
          <t xml:space="preserve">Cadastro em lote numa transação tudo ou nada, com validação de duplicidade antes de gravar. Issues GK-51 e GK-22 (Release 3, Sprints 4 e 5). Responsável: Rodrigo</t>
        </is>
      </c>
      <c r="K18" s="20" t="str">
        <f>IF(I18="","",IF(I18&lt;=5,"Monitorar / Prevenir",IF(I18&lt;=12,"Mitigar / Prevenir","Evitar")))</f>
        <v/>
      </c>
    </row>
    <row r="19" spans="1:11" ht="15.75" customHeight="1" thickBot="1" x14ac:dyDescent="0.3"/>
    <row r="20" spans="1:11" ht="15.75" customHeight="1" x14ac:dyDescent="0.25">
      <c r="B20" s="24" t="inlineStr">
        <is>
          <t xml:space="preserve">Sistema: GameKeys (loja web de jogos digitais vendidos por chave de ativação)</t>
        </is>
      </c>
      <c r="C20" s="24"/>
      <c r="D20" s="24"/>
      <c r="E20" s="24"/>
      <c r="F20" s="24"/>
      <c r="G20" s="24"/>
      <c r="H20" s="24"/>
      <c r="I20" s="24"/>
      <c r="J20" s="24"/>
    </row>
    <row r="21" spans="1:11" ht="15.75" customHeight="1" x14ac:dyDescent="0.25">
      <c r="B21" s="24" t="inlineStr">
        <is>
          <t xml:space="preserve">Parâmetro: Usabilidade</t>
        </is>
      </c>
      <c r="C21" s="24"/>
      <c r="D21" s="24"/>
      <c r="E21" s="24"/>
      <c r="F21" s="24"/>
      <c r="G21" s="24"/>
      <c r="H21" s="24"/>
      <c r="I21" s="24"/>
      <c r="J21" s="24"/>
    </row>
    <row r="22" spans="1:11" ht="15.75" customHeight="1" x14ac:dyDescent="0.25"/>
    <row r="23" spans="1:11" ht="15.75" customHeight="1" x14ac:dyDescent="0.25">
      <c r="A23" s="2" t="s">
        <v>68</v>
      </c>
      <c r="B23" s="2" t="s">
        <v>69</v>
      </c>
      <c r="C23" s="2" t="s">
        <v>70</v>
      </c>
      <c r="D23" s="2" t="s">
        <v>71</v>
      </c>
      <c r="E23" s="2" t="s">
        <v>72</v>
      </c>
      <c r="F23" s="2" t="s">
        <v>73</v>
      </c>
      <c r="G23" s="2" t="s">
        <v>74</v>
      </c>
      <c r="H23" s="2" t="s">
        <v>75</v>
      </c>
      <c r="I23" s="2" t="s">
        <v>76</v>
      </c>
      <c r="J23" s="2" t="s">
        <v>77</v>
      </c>
      <c r="K23" s="2" t="s">
        <v>78</v>
      </c>
    </row>
    <row r="24" ht="110" customHeight="1" spans="1:11" thickBot="1" x14ac:dyDescent="0.3">
      <c r="A24" s="18" t="inlineStr">
        <is>
          <t xml:space="preserve">Pedro (I1)</t>
        </is>
      </c>
      <c r="B24" s="18" t="inlineStr">
        <is>
          <t xml:space="preserve">Menos</t>
        </is>
      </c>
      <c r="C24" s="19" t="inlineStr">
        <is>
          <t xml:space="preserve">Menos clientes concluírem a compra porque não entendem o fluxo (cadastro, carrinho, pagamento e biblioteca)</t>
        </is>
      </c>
      <c r="D24" s="19" t="inlineStr">
        <is>
          <t xml:space="preserve">Telas sem indicação do próximo passo e botões pouco claros</t>
        </is>
      </c>
      <c r="E24" s="19" t="inlineStr">
        <is>
          <t xml:space="preserve">Teste com 5 colegas da turma fazendo o fluxo principal sem ajuda, anotando onde travaram</t>
        </is>
      </c>
      <c r="F24" s="19" t="inlineStr">
        <is>
          <t xml:space="preserve">Vendas perdidas e demonstração confusa na Review</t>
        </is>
      </c>
      <c r="G24" s="6">
        <v>3</v>
      </c>
      <c r="H24" s="6">
        <v>3</v>
      </c>
      <c r="I24" s="6" t="str">
        <f>IF(OR(G24="",H24=""),"",(6-G24)*H24)</f>
        <v/>
      </c>
      <c r="J24" s="20" t="inlineStr">
        <is>
          <t xml:space="preserve">Teste de usabilidade com colegas a cada release a partir da Release 2 e ajustes nas telas onde houver dúvida. Issue GK-52 (Release 3, Sprints 4 e 5). Responsável: Pedro</t>
        </is>
      </c>
      <c r="K24" s="20" t="str">
        <f>IF(I24="","",IF(I24&lt;=5,"Monitorar / Prevenir",IF(I24&lt;=12,"Mitigar / Prevenir","Evitar")))</f>
        <v/>
      </c>
    </row>
    <row r="25" ht="110" customHeight="1" spans="1:11" x14ac:dyDescent="0.25">
      <c r="A25" s="18" t="inlineStr">
        <is>
          <t xml:space="preserve">Wagner (I2)</t>
        </is>
      </c>
      <c r="B25" s="18" t="inlineStr">
        <is>
          <t xml:space="preserve">Substituição</t>
        </is>
      </c>
      <c r="C25" s="19" t="inlineStr">
        <is>
          <t xml:space="preserve">Uma mensagem técnica (em inglês ou código de erro) aparecer no lugar de uma explicação do que fazer</t>
        </is>
      </c>
      <c r="D25" s="19" t="inlineStr">
        <is>
          <t xml:space="preserve">O front mostrar o erro cru da API e a API não ter um formato padrão de mensagem</t>
        </is>
      </c>
      <c r="E25" s="19" t="inlineStr">
        <is>
          <t xml:space="preserve">Checklist do QA em cada história, provocando os erros de validação de cada formulário</t>
        </is>
      </c>
      <c r="F25" s="19" t="inlineStr">
        <is>
          <t xml:space="preserve">Cliente não sabe como corrigir o problema e desiste do cadastro ou da compra</t>
        </is>
      </c>
      <c r="G25" s="6">
        <v>2</v>
      </c>
      <c r="H25" s="6">
        <v>2</v>
      </c>
      <c r="I25" s="6" t="str">
        <f>IF(OR(G25="",H25=""),"",(6-G25)*H25)</f>
        <v/>
      </c>
      <c r="J25" s="20" t="inlineStr">
        <is>
          <t xml:space="preserve">Formato único de erro na API com mensagem em português e exibição ao lado do campo no front. Issue GK-45 (Release 1, Sprint 1). Responsável: Wagner</t>
        </is>
      </c>
      <c r="K25" s="20" t="str">
        <f>IF(I25="","",IF(I25&lt;=5,"Monitorar / Prevenir",IF(I25&lt;=12,"Mitigar / Prevenir","Evitar")))</f>
        <v/>
      </c>
    </row>
    <row r="26" ht="110" customHeight="1" spans="1:11" x14ac:dyDescent="0.25">
      <c r="A26" s="18" t="inlineStr">
        <is>
          <t xml:space="preserve">Rodrigo (I3)</t>
        </is>
      </c>
      <c r="B26" s="18" t="inlineStr">
        <is>
          <t xml:space="preserve">Nenhum</t>
        </is>
      </c>
      <c r="C26" s="19" t="inlineStr">
        <is>
          <t xml:space="preserve">Nenhuma resposta na tela quando a API demora ou está fora do ar: a tela fica em branco</t>
        </is>
      </c>
      <c r="D26" s="19" t="inlineStr">
        <is>
          <t xml:space="preserve">Componentes de tela sem os estados de carregando, lista vazia e erro</t>
        </is>
      </c>
      <c r="E26" s="19" t="inlineStr">
        <is>
          <t xml:space="preserve">Teste manual simulando API lenta, lista vazia e API desligada (ferramentas do navegador)</t>
        </is>
      </c>
      <c r="F26" s="19" t="inlineStr">
        <is>
          <t xml:space="preserve">Cliente acha que o site quebrou e abandona a compra</t>
        </is>
      </c>
      <c r="G26" s="6">
        <v>2</v>
      </c>
      <c r="H26" s="6">
        <v>3</v>
      </c>
      <c r="I26" s="6" t="str">
        <f>IF(OR(G26="",H26=""),"",(6-G26)*H26)</f>
        <v/>
      </c>
      <c r="J26" s="20" t="inlineStr">
        <is>
          <t xml:space="preserve">Padrão de três estados (carregando, vazio e erro com tentar de novo) em todas as listagens. Issue GK-48 (Release 2, Sprints 2 e 3). Responsável: Rodrigo</t>
        </is>
      </c>
      <c r="K26" s="20" t="str">
        <f>IF(I26="","",IF(I26&lt;=5,"Monitorar / Prevenir",IF(I26&lt;=12,"Mitigar / Prevenir","Evitar")))</f>
        <v/>
      </c>
    </row>
    <row r="27" spans="1:11" ht="15.75" customHeight="1" x14ac:dyDescent="0.25"/>
    <row r="28" spans="1:11" ht="15.75" customHeight="1" x14ac:dyDescent="0.25"/>
    <row r="29" spans="1:11" ht="15.75" customHeight="1" thickBot="1" x14ac:dyDescent="0.3"/>
    <row r="30" spans="1:11" ht="15.75" customHeight="1" x14ac:dyDescent="0.25"/>
    <row r="31" spans="1:11" ht="15.75" customHeight="1" x14ac:dyDescent="0.25"/>
    <row r="32" spans="1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</sheetData>
  <mergeCells count="9">
    <mergeCell ref="B21:J21"/>
    <mergeCell ref="B4:J4"/>
    <mergeCell ref="B2:K2"/>
    <mergeCell ref="B12:J12"/>
    <mergeCell ref="B5:J5"/>
    <mergeCell ref="B3:C3"/>
    <mergeCell ref="B20:J20"/>
    <mergeCell ref="B13:J13"/>
    <mergeCell ref="D3:E3"/>
  </mergeCells>
  <conditionalFormatting sqref="I8:I10">
    <cfRule type="expression" dxfId="8" priority="1">
      <formula>AND(I8&lt;&gt;"",I8&gt;=15)</formula>
    </cfRule>
    <cfRule type="expression" dxfId="7" priority="2">
      <formula>AND(I8&lt;&gt;"",I8&gt;=6,I8&lt;=12)</formula>
    </cfRule>
    <cfRule type="expression" dxfId="6" priority="3">
      <formula>AND(I8&lt;&gt;"",I8&lt;=5)</formula>
    </cfRule>
  </conditionalFormatting>
  <conditionalFormatting sqref="I16:I18">
    <cfRule type="expression" dxfId="5" priority="4">
      <formula>AND(I16&lt;&gt;"",I16&gt;=15)</formula>
    </cfRule>
    <cfRule type="expression" dxfId="4" priority="5">
      <formula>AND(I16&lt;&gt;"",I16&gt;=6,I16&lt;=12)</formula>
    </cfRule>
    <cfRule type="expression" dxfId="3" priority="6">
      <formula>AND(I16&lt;&gt;"",I16&lt;=5)</formula>
    </cfRule>
  </conditionalFormatting>
  <conditionalFormatting sqref="I24:I26">
    <cfRule type="expression" dxfId="2" priority="7">
      <formula>AND(I24&lt;&gt;"",I24&gt;=15)</formula>
    </cfRule>
    <cfRule type="expression" dxfId="1" priority="8">
      <formula>AND(I24&lt;&gt;"",I24&gt;=6,I24&lt;=12)</formula>
    </cfRule>
    <cfRule type="expression" dxfId="0" priority="9">
      <formula>AND(I24&lt;&gt;"",I24&lt;=5)</formula>
    </cfRule>
  </conditionalFormatting>
  <dataValidations count="2">
    <dataValidation type="list" allowBlank="1" showErrorMessage="1" errorTitle="Palavra guia" error="Escolha uma palavra guia da lista (coluna M)." sqref="B16:B18 B24:B26 B8:B10" xr:uid="{00000000-0002-0000-0100-000000000000}">
      <formula1>$M$5:$M$14</formula1>
    </dataValidation>
    <dataValidation type="whole" allowBlank="1" showErrorMessage="1" errorTitle="Valor inválido" error="Use um número inteiro de 1 a 5." sqref="G8:H10 G16:H18 G24:H26" xr:uid="{00000000-0002-0000-0100-000001000000}">
      <formula1>1</formula1>
      <formula2>5</formula2>
    </dataValidation>
  </dataValidations>
  <pageMargins left="0.511811024" right="0.511811024" top="0.78740157499999996" bottom="0.78740157499999996" header="0.31496062000000002" footer="0.31496062000000002"/>
  <pageSetup paperSize="9" fitToHeight="0" orientation="landscape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B1:J1000"/>
  <sheetViews>
    <sheetView workbookViewId="0">
      <selection activeCell="L10" sqref="L10"/>
    </sheetView>
  </sheetViews>
  <sheetFormatPr defaultColWidth="14.44140625" defaultRowHeight="15" customHeight="1" x14ac:dyDescent="0.25"/>
  <cols>
    <col min="1" max="6" width="14.44140625" customWidth="1"/>
  </cols>
  <sheetData>
    <row r="1" spans="2:10" ht="15.75" customHeight="1" x14ac:dyDescent="0.25"/>
    <row r="2" spans="2:10" ht="15.75" customHeight="1" x14ac:dyDescent="0.25"/>
    <row r="3" spans="2:10" ht="15.75" customHeight="1" x14ac:dyDescent="0.25">
      <c r="B3" s="30" t="s">
        <v>93</v>
      </c>
      <c r="C3" s="31"/>
      <c r="D3" s="31"/>
      <c r="E3" s="31"/>
      <c r="F3" s="31"/>
      <c r="G3" s="31"/>
      <c r="H3" s="31"/>
      <c r="I3" s="31"/>
      <c r="J3" s="32"/>
    </row>
    <row r="4" spans="2:10" ht="15.75" customHeight="1" x14ac:dyDescent="0.25">
      <c r="B4" s="30" t="s">
        <v>94</v>
      </c>
      <c r="C4" s="31"/>
      <c r="D4" s="31"/>
      <c r="E4" s="31"/>
      <c r="F4" s="31"/>
      <c r="G4" s="31"/>
      <c r="H4" s="31"/>
      <c r="I4" s="31"/>
      <c r="J4" s="32"/>
    </row>
    <row r="5" spans="2:10" ht="15.75" customHeight="1" x14ac:dyDescent="0.25">
      <c r="B5" s="33"/>
      <c r="C5" s="34"/>
      <c r="D5" s="34"/>
      <c r="E5" s="34"/>
      <c r="F5" s="34"/>
      <c r="G5" s="34"/>
      <c r="H5" s="34"/>
      <c r="I5" s="34"/>
      <c r="J5" s="35"/>
    </row>
    <row r="6" spans="2:10" ht="15.75" customHeight="1" x14ac:dyDescent="0.25">
      <c r="B6" s="3" t="s">
        <v>69</v>
      </c>
      <c r="C6" s="3" t="s">
        <v>70</v>
      </c>
      <c r="D6" s="3" t="s">
        <v>71</v>
      </c>
      <c r="E6" s="3" t="s">
        <v>72</v>
      </c>
      <c r="F6" s="3" t="s">
        <v>73</v>
      </c>
      <c r="G6" s="3" t="s">
        <v>74</v>
      </c>
      <c r="H6" s="3" t="s">
        <v>75</v>
      </c>
      <c r="I6" s="3" t="s">
        <v>76</v>
      </c>
      <c r="J6" s="3" t="s">
        <v>77</v>
      </c>
    </row>
    <row r="7" spans="2:10" ht="114.75" customHeight="1" x14ac:dyDescent="0.25">
      <c r="B7" s="36" t="s">
        <v>86</v>
      </c>
      <c r="C7" s="7" t="s">
        <v>95</v>
      </c>
      <c r="D7" s="7" t="s">
        <v>96</v>
      </c>
      <c r="E7" s="7" t="s">
        <v>97</v>
      </c>
      <c r="F7" s="7" t="s">
        <v>98</v>
      </c>
      <c r="G7" s="7">
        <v>1</v>
      </c>
      <c r="H7" s="7">
        <v>3</v>
      </c>
      <c r="I7" s="8">
        <v>15</v>
      </c>
      <c r="J7" s="7" t="s">
        <v>99</v>
      </c>
    </row>
    <row r="8" spans="2:10" ht="153" customHeight="1" x14ac:dyDescent="0.25">
      <c r="B8" s="37"/>
      <c r="C8" s="5" t="s">
        <v>100</v>
      </c>
      <c r="D8" s="5" t="s">
        <v>101</v>
      </c>
      <c r="E8" s="5" t="s">
        <v>102</v>
      </c>
      <c r="F8" s="5" t="s">
        <v>103</v>
      </c>
      <c r="G8" s="5">
        <v>1</v>
      </c>
      <c r="H8" s="5">
        <v>3</v>
      </c>
      <c r="I8" s="9">
        <v>15</v>
      </c>
      <c r="J8" s="5" t="s">
        <v>104</v>
      </c>
    </row>
    <row r="9" spans="2:10" ht="15.75" customHeight="1" x14ac:dyDescent="0.25">
      <c r="B9" s="1"/>
      <c r="C9" s="1"/>
      <c r="D9" s="1"/>
      <c r="E9" s="1"/>
      <c r="F9" s="1"/>
      <c r="G9" s="1"/>
      <c r="H9" s="1"/>
      <c r="I9" s="1"/>
      <c r="J9" s="1"/>
    </row>
    <row r="10" spans="2:10" ht="15.75" customHeight="1" x14ac:dyDescent="0.25">
      <c r="B10" s="30" t="s">
        <v>105</v>
      </c>
      <c r="C10" s="31"/>
      <c r="D10" s="31"/>
      <c r="E10" s="31"/>
      <c r="F10" s="31"/>
      <c r="G10" s="31"/>
      <c r="H10" s="31"/>
      <c r="I10" s="31"/>
      <c r="J10" s="32"/>
    </row>
    <row r="11" spans="2:10" ht="15.75" customHeight="1" x14ac:dyDescent="0.25">
      <c r="B11" s="30" t="s">
        <v>106</v>
      </c>
      <c r="C11" s="31"/>
      <c r="D11" s="31"/>
      <c r="E11" s="31"/>
      <c r="F11" s="31"/>
      <c r="G11" s="31"/>
      <c r="H11" s="31"/>
      <c r="I11" s="31"/>
      <c r="J11" s="32"/>
    </row>
    <row r="12" spans="2:10" ht="15.75" customHeight="1" x14ac:dyDescent="0.25">
      <c r="B12" s="38"/>
      <c r="C12" s="31"/>
      <c r="D12" s="31"/>
      <c r="E12" s="31"/>
      <c r="F12" s="31"/>
      <c r="G12" s="31"/>
      <c r="H12" s="31"/>
      <c r="I12" s="31"/>
      <c r="J12" s="32"/>
    </row>
    <row r="13" spans="2:10" ht="15.75" customHeight="1" x14ac:dyDescent="0.25">
      <c r="B13" s="3" t="s">
        <v>69</v>
      </c>
      <c r="C13" s="3" t="s">
        <v>70</v>
      </c>
      <c r="D13" s="3" t="s">
        <v>71</v>
      </c>
      <c r="E13" s="3" t="s">
        <v>72</v>
      </c>
      <c r="F13" s="3" t="s">
        <v>73</v>
      </c>
      <c r="G13" s="3" t="s">
        <v>74</v>
      </c>
      <c r="H13" s="3" t="s">
        <v>75</v>
      </c>
      <c r="I13" s="3" t="s">
        <v>76</v>
      </c>
      <c r="J13" s="3" t="s">
        <v>77</v>
      </c>
    </row>
    <row r="14" spans="2:10" ht="114.75" customHeight="1" x14ac:dyDescent="0.25">
      <c r="B14" s="5" t="s">
        <v>88</v>
      </c>
      <c r="C14" s="5" t="s">
        <v>107</v>
      </c>
      <c r="D14" s="5" t="s">
        <v>108</v>
      </c>
      <c r="E14" s="5" t="s">
        <v>109</v>
      </c>
      <c r="F14" s="5" t="s">
        <v>110</v>
      </c>
      <c r="G14" s="5">
        <v>3</v>
      </c>
      <c r="H14" s="5">
        <v>3</v>
      </c>
      <c r="I14" s="10">
        <v>9</v>
      </c>
      <c r="J14" s="5" t="s">
        <v>111</v>
      </c>
    </row>
    <row r="15" spans="2:10" ht="15.75" customHeight="1" x14ac:dyDescent="0.25">
      <c r="B15" s="4"/>
      <c r="C15" s="4"/>
      <c r="D15" s="4"/>
      <c r="E15" s="4"/>
      <c r="F15" s="4"/>
      <c r="G15" s="4"/>
      <c r="H15" s="4"/>
      <c r="I15" s="4"/>
      <c r="J15" s="4"/>
    </row>
    <row r="16" spans="2:1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B12:J12"/>
    <mergeCell ref="B11:J11"/>
    <mergeCell ref="B3:J3"/>
    <mergeCell ref="B5:J5"/>
    <mergeCell ref="B10:J10"/>
    <mergeCell ref="B7:B8"/>
    <mergeCell ref="B4:J4"/>
  </mergeCells>
  <pageMargins left="0.511811024" right="0.511811024" top="0.78740157499999996" bottom="0.78740157499999996" header="0.31496062000000002" footer="0.31496062000000002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Orientações</vt:lpstr>
      <vt:lpstr>Riscos</vt:lpstr>
      <vt:lpstr>Exemplo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Ana Isabella Muniz</cp:lastModifiedBy>
  <dcterms:created xsi:type="dcterms:W3CDTF">2026-10-15T02:03:59Z</dcterms:created>
  <dcterms:modified xsi:type="dcterms:W3CDTF">2026-10-15T02:10:59Z</dcterms:modified>
</cp:coreProperties>
</file>