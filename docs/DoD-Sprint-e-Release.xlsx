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G:\Meu Drive\UEPB\20262\GP\"/>
    </mc:Choice>
  </mc:AlternateContent>
  <xr:revisionPtr revIDLastSave="0" documentId="13_ncr:1_{5CF8A161-D500-4F90-BA69-C1732AA5F81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cordo da equipe" sheetId="1" r:id="rId1"/>
    <sheet name="DoD da Sprint" sheetId="2" r:id="rId2"/>
    <sheet name="DoD da Release" sheetId="3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3" l="1"/>
  <c r="F39" i="3"/>
  <c r="E39" i="3"/>
  <c r="D39" i="3"/>
  <c r="G38" i="3"/>
  <c r="F38" i="3"/>
  <c r="E38" i="3"/>
  <c r="D38" i="3"/>
  <c r="K34" i="2"/>
  <c r="J34" i="2"/>
  <c r="I34" i="2"/>
  <c r="H34" i="2"/>
  <c r="G34" i="2"/>
  <c r="F34" i="2"/>
  <c r="E34" i="2"/>
  <c r="D34" i="2"/>
  <c r="K33" i="2"/>
  <c r="J33" i="2"/>
  <c r="I33" i="2"/>
  <c r="H33" i="2"/>
  <c r="G33" i="2"/>
  <c r="F33" i="2"/>
  <c r="E33" i="2"/>
  <c r="D33" i="2"/>
</calcChain>
</file>

<file path=xl/sharedStrings.xml><?xml version="1.0" encoding="utf-8"?>
<sst xmlns="http://schemas.openxmlformats.org/spreadsheetml/2006/main" count="200" uniqueCount="112">
  <si>
    <t>DEFINITION OF DONE – SPRINT E RELEASE</t>
  </si>
  <si>
    <t>Projeto</t>
  </si>
  <si>
    <t>&lt;&lt; Nome do projeto &gt;&gt;</t>
  </si>
  <si>
    <t>Equipe</t>
  </si>
  <si>
    <t>&lt;&lt; Integrantes &gt;&gt;</t>
  </si>
  <si>
    <t>Versão</t>
  </si>
  <si>
    <t>1.0</t>
  </si>
  <si>
    <t>Data do acordo</t>
  </si>
  <si>
    <t>&lt;&lt; dd/mm/aaaa &gt;&gt;</t>
  </si>
  <si>
    <t>Acordada na</t>
  </si>
  <si>
    <t>&lt;&lt; Sprint 0 / Planning &gt;&gt;</t>
  </si>
  <si>
    <t>Responsável pela manutenção (SM)</t>
  </si>
  <si>
    <t>&lt;&lt; nome &gt;&gt;</t>
  </si>
  <si>
    <t>Repositório</t>
  </si>
  <si>
    <t>&lt;&lt; link do GitHub &gt;&gt;</t>
  </si>
  <si>
    <t>COMO USAR</t>
  </si>
  <si>
    <t>A DoD é apresentada na Sprint Planning e verificada item a item na Sprint Review. Quem verifica: QA. Quem aceita: PO. Quem mantém o acordo: SM.</t>
  </si>
  <si>
    <t>Em cada coluna de sprint ou release, escolha Sim, Não ou N/A (não se aplica). Registre em "Evidência" o link ou arquivo que comprova o item.</t>
  </si>
  <si>
    <t>Um critério marcado "Não" precisa de uma observação (motivo e plano) e volta ao backlog ou à próxima sprint.</t>
  </si>
  <si>
    <t>Cada equipe pode editar, remover ou acrescentar critérios nas linhas "Critérios da equipe", desde que o acordo seja registrado no histórico abaixo.</t>
  </si>
  <si>
    <t>A linha de percentual no fim de cada aba calcula o que foi cumprido, ignorando os N/A.</t>
  </si>
  <si>
    <t>HISTÓRICO DE REVISÃO DO ACORDO (revisar na Retrospectiva de cada release)</t>
  </si>
  <si>
    <t>Data</t>
  </si>
  <si>
    <t>Mudança</t>
  </si>
  <si>
    <t>Motivo</t>
  </si>
  <si>
    <t>Aprovado por</t>
  </si>
  <si>
    <t>Versão inicial</t>
  </si>
  <si>
    <t>&lt;&lt; equipe &gt;&gt;</t>
  </si>
  <si>
    <t>Assinaturas de ciência (nomes dos integrantes e papel nesta release)</t>
  </si>
  <si>
    <t>&lt;&lt; Integrante 1 – papel &gt;&gt;</t>
  </si>
  <si>
    <t>&lt;&lt; Integrante 2 – papel &gt;&gt;</t>
  </si>
  <si>
    <t>&lt;&lt; Integrante 3 – papel &gt;&gt;</t>
  </si>
  <si>
    <t>&lt;&lt; Integrante 4 – papel &gt;&gt;</t>
  </si>
  <si>
    <t>DEFINITION OF DONE – NÍVEL SPRINT (verificada na Sprint Review)</t>
  </si>
  <si>
    <t>Nº</t>
  </si>
  <si>
    <t>Critério</t>
  </si>
  <si>
    <t>Quem verifica</t>
  </si>
  <si>
    <t>Sprint 0</t>
  </si>
  <si>
    <t>Sprint 1</t>
  </si>
  <si>
    <t>Sprint 2</t>
  </si>
  <si>
    <t>Sprint 3</t>
  </si>
  <si>
    <t>Sprint 4</t>
  </si>
  <si>
    <t>Sprint 5</t>
  </si>
  <si>
    <t>Sprint 6</t>
  </si>
  <si>
    <t>Sprint 7</t>
  </si>
  <si>
    <t>Evidência (link ou arquivo)</t>
  </si>
  <si>
    <t>Observações</t>
  </si>
  <si>
    <t>A. META E ENTREGAS DA SPRINT</t>
  </si>
  <si>
    <t>Sprint Goal atingido (ou desvio justificado nas observações)</t>
  </si>
  <si>
    <t>PO</t>
  </si>
  <si>
    <t>Todas as US marcadas como concluídas atendem à DoD de US acordada pela equipe</t>
  </si>
  <si>
    <t>QA</t>
  </si>
  <si>
    <t>Itens não concluídos voltaram ao backlog, com a pendência registrada na issue</t>
  </si>
  <si>
    <t>Incremento demonstrado ao PO na Sprint Review</t>
  </si>
  <si>
    <t>SM</t>
  </si>
  <si>
    <t>Aceite ou rejeição de cada US registrado nas issues</t>
  </si>
  <si>
    <t>B. QUALIDADE E INTEGRAÇÃO</t>
  </si>
  <si>
    <t>Pipeline de CI verde na branch principal ao fim da sprint</t>
  </si>
  <si>
    <t>DevOps</t>
  </si>
  <si>
    <t>Bugs encontrados na sprint registrados com evidências e severidade</t>
  </si>
  <si>
    <t>Nenhum bug crítico ou alto em aberto sem plano de tratamento</t>
  </si>
  <si>
    <t>Regressão dos itens afetados executada</t>
  </si>
  <si>
    <t>C. GESTÃO E CERIMÔNIAS</t>
  </si>
  <si>
    <t>Board do GitHub Projects atualizado (status, responsável, story points, sprint)</t>
  </si>
  <si>
    <t>Sprint Planning realizada, com plano da sprint e Sprint Goal</t>
  </si>
  <si>
    <t>Ata da Review em docs/sprints/</t>
  </si>
  <si>
    <t>Ata da Retrospectiva em docs/sprints/, com ações, responsáveis e prazos</t>
  </si>
  <si>
    <t>Ações da retrospectiva anterior acompanhadas</t>
  </si>
  <si>
    <t>Impedimentos registrados com status e resolução</t>
  </si>
  <si>
    <t>D. MÉTRICAS E PLANEJAMENTO</t>
  </si>
  <si>
    <t>Métricas da sprint registradas (burndown e velocity)</t>
  </si>
  <si>
    <t>Backlog repriorizado pelo PO</t>
  </si>
  <si>
    <t>Planilha de riscos atualizada</t>
  </si>
  <si>
    <t>Itens da próxima sprint com critérios de aceite escritos e estimados (DoR)</t>
  </si>
  <si>
    <t>Critérios da equipe (acrescentar conforme o acordo: ex. acessibilidade, desempenho, segurança)</t>
  </si>
  <si>
    <t>&lt;&lt; critério da equipe &gt;&gt;</t>
  </si>
  <si>
    <t>% de critérios cumpridos (Sim ÷ (Sim + Não), ignorando N/A)</t>
  </si>
  <si>
    <t>Critérios ainda sem resposta</t>
  </si>
  <si>
    <t>DEFINITION OF DONE – NÍVEL RELEASE (Release = 2 sprints)</t>
  </si>
  <si>
    <t>Release 1</t>
  </si>
  <si>
    <t>Release 2</t>
  </si>
  <si>
    <t>Release 3</t>
  </si>
  <si>
    <t>Release 4</t>
  </si>
  <si>
    <t>A. ENTREGA DA VERSÃO</t>
  </si>
  <si>
    <t>Versão funcional demonstrada na Review de release</t>
  </si>
  <si>
    <t>Versão implantada em ambiente de homologação e demonstrada</t>
  </si>
  <si>
    <t>N/A</t>
  </si>
  <si>
    <t>Tag e release criadas no repositório</t>
  </si>
  <si>
    <t>Ciclo de regressão executado antes da apresentação</t>
  </si>
  <si>
    <t>README atualizado (descrição, como executar e como testar)</t>
  </si>
  <si>
    <t>B. DOCUMENTAÇÃO EM docs/releases/</t>
  </si>
  <si>
    <t>Release notes</t>
  </si>
  <si>
    <t>Relatório de qualidade da release (bugs encontrados e corrigidos, métricas do plano de qualidade)</t>
  </si>
  <si>
    <t>Relatório de métricas (velocity, burndown, impedimentos recorrentes)</t>
  </si>
  <si>
    <t>Relatório do pipeline</t>
  </si>
  <si>
    <t>Retrospectiva de release registrada, olhando o processo como um todo</t>
  </si>
  <si>
    <t>C. GESTÃO E ROTAÇÃO DE PAPÉIS</t>
  </si>
  <si>
    <t>Backlog repriorizado para a próxima release, com base no feedback</t>
  </si>
  <si>
    <t>Papéis da próxima release definidos e registrados no README</t>
  </si>
  <si>
    <t>Passagem de bastão planejada entre os papéis atual e novo</t>
  </si>
  <si>
    <t>Avaliação entre pares preenchida por todos os integrantes</t>
  </si>
  <si>
    <t>D. SOMENTE RELEASE 4 (ENTREGA FINAL E DEMO DAY)</t>
  </si>
  <si>
    <t>Demo funcional apresentada à banca ou convidados, com roteiro ensaiado</t>
  </si>
  <si>
    <t>Product Backlog completo, com status de cada US e vínculo às releases</t>
  </si>
  <si>
    <t>Atas de todas as plannings, reviews e retrospectivas em docs/sprints/</t>
  </si>
  <si>
    <t>Relatórios das 4 releases reunidos em docs/releases/</t>
  </si>
  <si>
    <t>Planilha de riscos final, com o que ocorreu e como foi tratado</t>
  </si>
  <si>
    <t>Capturas das métricas do GitHub Projects ao longo do semestre</t>
  </si>
  <si>
    <t>Documento de lições aprendidas, conforme o template</t>
  </si>
  <si>
    <t>Documentação de infraestrutura e de como reproduzir o ambiente</t>
  </si>
  <si>
    <t>Relatório final de qualidade do projeto</t>
  </si>
  <si>
    <t>A DoD de US (por história de usuário) fica no template da US e no pull request. Esta planilha cobre os níveis de SPRINT e de RELEASE.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</si>
</sst>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color rgb="FFFFFFFF"/>
      <name val="Calibri"/>
    </font>
    <font>
      <b/>
      <sz val="13"/>
      <name val="Calibri"/>
    </font>
    <font>
      <i/>
      <sz val="11"/>
      <color rgb="FF88888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0" borderId="0" xfId="0" applyFont="1"/>
    <xf numFmtId="0" fontId="0" fillId="0" borderId="1" xfId="0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9" fontId="2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0" xfId="0" applyAlignment="1">
      <alignment vertical="center" wrapText="1"/>
    </xf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4" fillId="2" borderId="0" xfId="0" applyFont="1" applyFill="1" applyAlignment="1">
      <alignment vertical="center"/>
    </xf>
    <xf numFmtId="0" fontId="2" fillId="3" borderId="1" xfId="0" applyFont="1" applyFill="1" applyBorder="1"/>
  </cellXfs>
  <cellStyles count="1">
    <cellStyle name="Normal" xfId="0" builtinId="0"/>
  </cellStyles>
  <dxfs count="6">
    <dxf>
      <fill>
        <patternFill patternType="solid">
          <fgColor rgb="FFEFEFEF"/>
          <bgColor rgb="FFEFEFEF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6D7A8"/>
          <bgColor rgb="FFB6D7A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F32"/>
  <sheetViews>
    <sheetView showGridLines="0" tabSelected="1" topLeftCell="A12" workbookViewId="0">
      <selection activeCell="G5" sqref="G5"/>
    </sheetView>
  </sheetViews>
  <sheetFormatPr defaultRowHeight="14.4" x14ac:dyDescent="0.3"/>
  <cols>
    <col min="1" max="1" width="3" customWidth="1"/>
    <col min="2" max="2" width="34.44140625" customWidth="1"/>
    <col min="3" max="6" width="26" customWidth="1"/>
  </cols>
  <sheetData>
    <row r="1" spans="2:6" ht="25.95" customHeight="1" x14ac:dyDescent="0.35">
      <c r="B1" s="12" t="s">
        <v>0</v>
      </c>
      <c r="C1" s="10"/>
      <c r="D1" s="10"/>
      <c r="E1" s="10"/>
      <c r="F1" s="10"/>
    </row>
    <row r="3" spans="2:6" x14ac:dyDescent="0.3">
      <c r="B3" s="1" t="s">
        <v>1</v>
      </c>
      <c r="C3" s="8" t="inlineStr">
        <is>
          <t xml:space="preserve">GameKeys - loja web de jogos digitais vendidos por chave de ativação</t>
        </is>
      </c>
      <c r="D3" s="8"/>
      <c r="E3" s="8"/>
      <c r="F3" s="8"/>
    </row>
    <row r="4" spans="2:6" x14ac:dyDescent="0.3">
      <c r="B4" s="1" t="s">
        <v>3</v>
      </c>
      <c r="C4" s="8" t="inlineStr">
        <is>
          <t xml:space="preserve">Pedro Lucas Vaz de Andrade, Wagner Tiburcio da Silva Junior e Rodrigo Almeida Gomes</t>
        </is>
      </c>
      <c r="D4" s="8"/>
      <c r="E4" s="8"/>
      <c r="F4" s="8"/>
    </row>
    <row r="5" spans="2:6" x14ac:dyDescent="0.3">
      <c r="B5" s="1" t="s">
        <v>5</v>
      </c>
      <c r="C5" s="8" t="inlineStr">
        <is>
          <t xml:space="preserve">1.0</t>
        </is>
      </c>
      <c r="D5" s="8"/>
      <c r="E5" s="8"/>
      <c r="F5" s="8"/>
    </row>
    <row r="6" spans="2:6" x14ac:dyDescent="0.3">
      <c r="B6" s="1" t="s">
        <v>7</v>
      </c>
      <c r="C6" s="8" t="inlineStr">
        <is>
          <t xml:space="preserve">19/10/2026</t>
        </is>
      </c>
      <c r="D6" s="8"/>
      <c r="E6" s="8"/>
      <c r="F6" s="8"/>
    </row>
    <row r="7" spans="2:6" x14ac:dyDescent="0.3">
      <c r="B7" s="1" t="s">
        <v>9</v>
      </c>
      <c r="C7" s="8" t="inlineStr">
        <is>
          <t xml:space="preserve">Sprint 0 (apresentada na Planning da Sprint 1, em 20/10/2026)</t>
        </is>
      </c>
      <c r="D7" s="8"/>
      <c r="E7" s="8"/>
      <c r="F7" s="8"/>
    </row>
    <row r="8" spans="2:6" x14ac:dyDescent="0.3">
      <c r="B8" s="1" t="s">
        <v>11</v>
      </c>
      <c r="C8" s="8" t="inlineStr">
        <is>
          <t xml:space="preserve">Rodrigo Almeida Gomes</t>
        </is>
      </c>
      <c r="D8" s="8"/>
      <c r="E8" s="8"/>
      <c r="F8" s="8"/>
    </row>
    <row r="9" spans="2:6" x14ac:dyDescent="0.3">
      <c r="B9" s="1" t="s">
        <v>13</v>
      </c>
      <c r="C9" s="8" t="inlineStr">
        <is>
          <t xml:space="preserve">https://github.com/PedroLuvaz/gamekeys-uepb-2026-2</t>
        </is>
      </c>
      <c r="D9" s="8"/>
      <c r="E9" s="8"/>
      <c r="F9" s="8"/>
    </row>
    <row r="11" spans="2:6" x14ac:dyDescent="0.3">
      <c r="B11" s="11" t="s">
        <v>15</v>
      </c>
      <c r="C11" s="10"/>
      <c r="D11" s="10"/>
      <c r="E11" s="10"/>
      <c r="F11" s="10"/>
    </row>
    <row r="12" spans="2:6" ht="31.95" customHeight="1" x14ac:dyDescent="0.3">
      <c r="B12" s="9" t="s">
        <v>111</v>
      </c>
      <c r="C12" s="10"/>
      <c r="D12" s="10"/>
      <c r="E12" s="10"/>
      <c r="F12" s="10"/>
    </row>
    <row r="13" spans="2:6" ht="31.95" customHeight="1" x14ac:dyDescent="0.3">
      <c r="B13" s="9" t="s">
        <v>16</v>
      </c>
      <c r="C13" s="10"/>
      <c r="D13" s="10"/>
      <c r="E13" s="10"/>
      <c r="F13" s="10"/>
    </row>
    <row r="14" spans="2:6" ht="31.95" customHeight="1" x14ac:dyDescent="0.3">
      <c r="B14" s="9" t="s">
        <v>17</v>
      </c>
      <c r="C14" s="10"/>
      <c r="D14" s="10"/>
      <c r="E14" s="10"/>
      <c r="F14" s="10"/>
    </row>
    <row r="15" spans="2:6" ht="31.95" customHeight="1" x14ac:dyDescent="0.3">
      <c r="B15" s="9" t="s">
        <v>18</v>
      </c>
      <c r="C15" s="10"/>
      <c r="D15" s="10"/>
      <c r="E15" s="10"/>
      <c r="F15" s="10"/>
    </row>
    <row r="16" spans="2:6" ht="31.95" customHeight="1" x14ac:dyDescent="0.3">
      <c r="B16" s="9" t="s">
        <v>19</v>
      </c>
      <c r="C16" s="10"/>
      <c r="D16" s="10"/>
      <c r="E16" s="10"/>
      <c r="F16" s="10"/>
    </row>
    <row r="17" spans="2:6" ht="31.95" customHeight="1" x14ac:dyDescent="0.3">
      <c r="B17" s="9" t="s">
        <v>20</v>
      </c>
      <c r="C17" s="10"/>
      <c r="D17" s="10"/>
      <c r="E17" s="10"/>
      <c r="F17" s="10"/>
    </row>
    <row r="19" spans="2:6" x14ac:dyDescent="0.3">
      <c r="B19" s="11" t="s">
        <v>21</v>
      </c>
      <c r="C19" s="10"/>
      <c r="D19" s="10"/>
      <c r="E19" s="10"/>
      <c r="F19" s="10"/>
    </row>
    <row r="20" spans="2:6" x14ac:dyDescent="0.3">
      <c r="B20" s="2" t="s">
        <v>22</v>
      </c>
      <c r="C20" s="2" t="s">
        <v>5</v>
      </c>
      <c r="D20" s="2" t="s">
        <v>23</v>
      </c>
      <c r="E20" s="2" t="s">
        <v>24</v>
      </c>
      <c r="F20" s="2" t="s">
        <v>25</v>
      </c>
    </row>
    <row r="21" ht="60" customHeight="1" spans="2:6" x14ac:dyDescent="0.3">
      <c r="B21" s="3" t="inlineStr">
        <is>
          <t xml:space="preserve">19/10/2026</t>
        </is>
      </c>
      <c r="C21" s="3" t="inlineStr">
        <is>
          <t xml:space="preserve">1.0</t>
        </is>
      </c>
      <c r="D21" s="3" t="inlineStr">
        <is>
          <t xml:space="preserve">Versão inicial a partir do template da disciplina. Troca de GitHub Projects por Jira nos critérios 10 e 21, e critérios da equipe ligados aos 3 atributos de qualidade (segurança, confiabilidade e usabilidade).</t>
        </is>
      </c>
      <c r="E21" s="3" t="inlineStr">
        <is>
          <t xml:space="preserve">A disciplina passou a usar o Jira e o Plano de Qualidade definiu os 3 atributos.</t>
        </is>
      </c>
      <c r="F21" s="3" t="inlineStr">
        <is>
          <t xml:space="preserve">A confirmar pela equipe na Planning da Sprint 1</t>
        </is>
      </c>
    </row>
    <row r="22" spans="2:6" x14ac:dyDescent="0.3">
      <c r="B22" s="3"/>
      <c r="C22" s="3"/>
      <c r="D22" s="3"/>
      <c r="E22" s="3"/>
      <c r="F22" s="3"/>
    </row>
    <row r="23" spans="2:6" x14ac:dyDescent="0.3">
      <c r="B23" s="3"/>
      <c r="C23" s="3"/>
      <c r="D23" s="3"/>
      <c r="E23" s="3"/>
      <c r="F23" s="3"/>
    </row>
    <row r="24" spans="2:6" x14ac:dyDescent="0.3">
      <c r="B24" s="3"/>
      <c r="C24" s="3"/>
      <c r="D24" s="3"/>
      <c r="E24" s="3"/>
      <c r="F24" s="3"/>
    </row>
    <row r="25" spans="2:6" x14ac:dyDescent="0.3">
      <c r="B25" s="3"/>
      <c r="C25" s="3"/>
      <c r="D25" s="3"/>
      <c r="E25" s="3"/>
      <c r="F25" s="3"/>
    </row>
    <row r="28" spans="2:6" x14ac:dyDescent="0.3">
      <c r="B28" s="4" t="s">
        <v>28</v>
      </c>
    </row>
    <row r="29" spans="2:6" x14ac:dyDescent="0.3">
      <c r="B29" s="8" t="inlineStr">
        <is>
          <t xml:space="preserve">Pedro Lucas Vaz de Andrade - PO e DevOps (Release 1)</t>
        </is>
      </c>
      <c r="C29" s="8"/>
      <c r="D29" s="8"/>
      <c r="E29" s="8"/>
      <c r="F29" s="8"/>
    </row>
    <row r="30" spans="2:6" x14ac:dyDescent="0.3">
      <c r="B30" s="8" t="inlineStr">
        <is>
          <t xml:space="preserve">Wagner Tiburcio da Silva Junior - QA (Release 1)</t>
        </is>
      </c>
      <c r="C30" s="8"/>
      <c r="D30" s="8"/>
      <c r="E30" s="8"/>
      <c r="F30" s="8"/>
    </row>
    <row r="31" spans="2:6" x14ac:dyDescent="0.3">
      <c r="B31" s="8" t="inlineStr">
        <is>
          <t xml:space="preserve">Rodrigo Almeida Gomes - Scrum Master (Release 1)</t>
        </is>
      </c>
      <c r="C31" s="8"/>
      <c r="D31" s="8"/>
      <c r="E31" s="8"/>
      <c r="F31" s="8"/>
    </row>
    <row r="32" spans="2:6" x14ac:dyDescent="0.3">
      <c r="B32" s="8" t="inlineStr">
        <is>
          <t xml:space="preserve"/>
        </is>
      </c>
      <c r="C32" s="8"/>
      <c r="D32" s="8"/>
      <c r="E32" s="8"/>
      <c r="F32" s="8"/>
    </row>
  </sheetData>
  <mergeCells count="20">
    <mergeCell ref="B32:F32"/>
    <mergeCell ref="C3:F3"/>
    <mergeCell ref="B11:F11"/>
    <mergeCell ref="C6:F6"/>
    <mergeCell ref="B1:F1"/>
    <mergeCell ref="B14:F14"/>
    <mergeCell ref="C5:F5"/>
    <mergeCell ref="B13:F13"/>
    <mergeCell ref="C4:F4"/>
    <mergeCell ref="C9:F9"/>
    <mergeCell ref="C8:F8"/>
    <mergeCell ref="B16:F16"/>
    <mergeCell ref="C7:F7"/>
    <mergeCell ref="B31:F31"/>
    <mergeCell ref="B12:F12"/>
    <mergeCell ref="B17:F17"/>
    <mergeCell ref="B29:F29"/>
    <mergeCell ref="B19:F19"/>
    <mergeCell ref="B30:F30"/>
    <mergeCell ref="B15:F15"/>
  </mergeCell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34"/>
  <sheetViews>
    <sheetView showGridLines="0" workbookViewId="0">
      <pane xSplit="3" ySplit="3" topLeftCell="D4" activePane="bottomRight" state="frozen"/>
      <selection pane="topRight"/>
      <selection pane="bottomLeft"/>
      <selection pane="bottomRight" sqref="A1:M1"/>
    </sheetView>
  </sheetViews>
  <sheetFormatPr defaultRowHeight="14.4" x14ac:dyDescent="0.3"/>
  <cols>
    <col min="1" max="1" width="5" customWidth="1"/>
    <col min="2" max="2" width="58" customWidth="1"/>
    <col min="3" max="3" width="16" customWidth="1"/>
    <col min="4" max="11" width="11" customWidth="1"/>
    <col min="12" max="13" width="34" customWidth="1"/>
  </cols>
  <sheetData>
    <row r="1" spans="1:13" ht="25.95" customHeight="1" x14ac:dyDescent="0.3">
      <c r="A1" s="13" t="s">
        <v>33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spans="1:13" ht="31.95" customHeight="1" x14ac:dyDescent="0.3">
      <c r="A3" s="2" t="s">
        <v>34</v>
      </c>
      <c r="B3" s="2" t="s">
        <v>35</v>
      </c>
      <c r="C3" s="2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</row>
    <row r="4" spans="1:13" x14ac:dyDescent="0.3">
      <c r="A4" s="14" t="s">
        <v>47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spans="1:13" ht="22.05" customHeight="1" x14ac:dyDescent="0.3">
      <c r="A5" s="5">
        <v>1</v>
      </c>
      <c r="B5" s="3" t="s">
        <v>48</v>
      </c>
      <c r="C5" s="5" t="s">
        <v>49</v>
      </c>
      <c r="D5" s="5"/>
      <c r="E5" s="5"/>
      <c r="F5" s="5"/>
      <c r="G5" s="5"/>
      <c r="H5" s="5"/>
      <c r="I5" s="5"/>
      <c r="J5" s="5"/>
      <c r="K5" s="5"/>
      <c r="L5" s="3"/>
      <c r="M5" s="3"/>
    </row>
    <row r="6" spans="1:13" ht="31.95" customHeight="1" x14ac:dyDescent="0.3">
      <c r="A6" s="5">
        <v>2</v>
      </c>
      <c r="B6" s="3" t="s">
        <v>50</v>
      </c>
      <c r="C6" s="5" t="s">
        <v>51</v>
      </c>
      <c r="D6" s="5"/>
      <c r="E6" s="5"/>
      <c r="F6" s="5"/>
      <c r="G6" s="5"/>
      <c r="H6" s="5"/>
      <c r="I6" s="5"/>
      <c r="J6" s="5"/>
      <c r="K6" s="5"/>
      <c r="L6" s="3"/>
      <c r="M6" s="3"/>
    </row>
    <row r="7" spans="1:13" ht="31.95" customHeight="1" x14ac:dyDescent="0.3">
      <c r="A7" s="5">
        <v>3</v>
      </c>
      <c r="B7" s="3" t="s">
        <v>52</v>
      </c>
      <c r="C7" s="5" t="s">
        <v>49</v>
      </c>
      <c r="D7" s="5"/>
      <c r="E7" s="5"/>
      <c r="F7" s="5"/>
      <c r="G7" s="5"/>
      <c r="H7" s="5"/>
      <c r="I7" s="5"/>
      <c r="J7" s="5"/>
      <c r="K7" s="5"/>
      <c r="L7" s="3"/>
      <c r="M7" s="3"/>
    </row>
    <row r="8" spans="1:13" ht="22.05" customHeight="1" x14ac:dyDescent="0.3">
      <c r="A8" s="5">
        <v>4</v>
      </c>
      <c r="B8" s="3" t="s">
        <v>53</v>
      </c>
      <c r="C8" s="5" t="s">
        <v>54</v>
      </c>
      <c r="D8" s="5"/>
      <c r="E8" s="5"/>
      <c r="F8" s="5"/>
      <c r="G8" s="5"/>
      <c r="H8" s="5"/>
      <c r="I8" s="5"/>
      <c r="J8" s="5"/>
      <c r="K8" s="5"/>
      <c r="L8" s="3"/>
      <c r="M8" s="3"/>
    </row>
    <row r="9" spans="1:13" ht="22.05" customHeight="1" x14ac:dyDescent="0.3">
      <c r="A9" s="5">
        <v>5</v>
      </c>
      <c r="B9" s="3" t="s">
        <v>55</v>
      </c>
      <c r="C9" s="5" t="s">
        <v>49</v>
      </c>
      <c r="D9" s="5"/>
      <c r="E9" s="5"/>
      <c r="F9" s="5"/>
      <c r="G9" s="5"/>
      <c r="H9" s="5"/>
      <c r="I9" s="5"/>
      <c r="J9" s="5"/>
      <c r="K9" s="5"/>
      <c r="L9" s="3"/>
      <c r="M9" s="3"/>
    </row>
    <row r="10" spans="1:13" x14ac:dyDescent="0.3">
      <c r="A10" s="14" t="s">
        <v>56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spans="1:13" ht="22.05" customHeight="1" x14ac:dyDescent="0.3">
      <c r="A11" s="5">
        <v>6</v>
      </c>
      <c r="B11" s="3" t="s">
        <v>57</v>
      </c>
      <c r="C11" s="5" t="s">
        <v>58</v>
      </c>
      <c r="D11" s="5"/>
      <c r="E11" s="5"/>
      <c r="F11" s="5"/>
      <c r="G11" s="5"/>
      <c r="H11" s="5"/>
      <c r="I11" s="5"/>
      <c r="J11" s="5"/>
      <c r="K11" s="5"/>
      <c r="L11" s="3"/>
      <c r="M11" s="3"/>
    </row>
    <row r="12" spans="1:13" ht="31.95" customHeight="1" x14ac:dyDescent="0.3">
      <c r="A12" s="5">
        <v>7</v>
      </c>
      <c r="B12" s="3" t="s">
        <v>59</v>
      </c>
      <c r="C12" s="5" t="s">
        <v>51</v>
      </c>
      <c r="D12" s="5"/>
      <c r="E12" s="5"/>
      <c r="F12" s="5"/>
      <c r="G12" s="5"/>
      <c r="H12" s="5"/>
      <c r="I12" s="5"/>
      <c r="J12" s="5"/>
      <c r="K12" s="5"/>
      <c r="L12" s="3"/>
      <c r="M12" s="3"/>
    </row>
    <row r="13" spans="1:13" ht="22.05" customHeight="1" x14ac:dyDescent="0.3">
      <c r="A13" s="5">
        <v>8</v>
      </c>
      <c r="B13" s="3" t="s">
        <v>60</v>
      </c>
      <c r="C13" s="5" t="s">
        <v>51</v>
      </c>
      <c r="D13" s="5"/>
      <c r="E13" s="5"/>
      <c r="F13" s="5"/>
      <c r="G13" s="5"/>
      <c r="H13" s="5"/>
      <c r="I13" s="5"/>
      <c r="J13" s="5"/>
      <c r="K13" s="5"/>
      <c r="L13" s="3"/>
      <c r="M13" s="3"/>
    </row>
    <row r="14" spans="1:13" ht="22.05" customHeight="1" x14ac:dyDescent="0.3">
      <c r="A14" s="5">
        <v>9</v>
      </c>
      <c r="B14" s="3" t="s">
        <v>61</v>
      </c>
      <c r="C14" s="5" t="s">
        <v>51</v>
      </c>
      <c r="D14" s="5"/>
      <c r="E14" s="5"/>
      <c r="F14" s="5"/>
      <c r="G14" s="5"/>
      <c r="H14" s="5"/>
      <c r="I14" s="5"/>
      <c r="J14" s="5"/>
      <c r="K14" s="5"/>
      <c r="L14" s="3"/>
      <c r="M14" s="3"/>
    </row>
    <row r="15" spans="1:13" x14ac:dyDescent="0.3">
      <c r="A15" s="14" t="s">
        <v>62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</row>
    <row r="16" spans="1:13" ht="31.95" customHeight="1" x14ac:dyDescent="0.3">
      <c r="A16" s="5">
        <v>10</v>
      </c>
      <c r="B16" s="3" t="inlineStr">
        <is>
          <t xml:space="preserve">Board do Jira atualizado (status, responsável, story points, sprint)</t>
        </is>
      </c>
      <c r="C16" s="5" t="s">
        <v>54</v>
      </c>
      <c r="D16" s="5"/>
      <c r="E16" s="5"/>
      <c r="F16" s="5"/>
      <c r="G16" s="5"/>
      <c r="H16" s="5"/>
      <c r="I16" s="5"/>
      <c r="J16" s="5"/>
      <c r="K16" s="5"/>
      <c r="L16" s="3"/>
      <c r="M16" s="3"/>
    </row>
    <row r="17" spans="1:13" ht="22.05" customHeight="1" x14ac:dyDescent="0.3">
      <c r="A17" s="5">
        <v>11</v>
      </c>
      <c r="B17" s="3" t="s">
        <v>64</v>
      </c>
      <c r="C17" s="5" t="s">
        <v>54</v>
      </c>
      <c r="D17" s="5"/>
      <c r="E17" s="5"/>
      <c r="F17" s="5"/>
      <c r="G17" s="5"/>
      <c r="H17" s="5"/>
      <c r="I17" s="5"/>
      <c r="J17" s="5"/>
      <c r="K17" s="5"/>
      <c r="L17" s="3"/>
      <c r="M17" s="3"/>
    </row>
    <row r="18" spans="1:13" ht="22.05" customHeight="1" x14ac:dyDescent="0.3">
      <c r="A18" s="5">
        <v>12</v>
      </c>
      <c r="B18" s="3" t="s">
        <v>65</v>
      </c>
      <c r="C18" s="5" t="s">
        <v>54</v>
      </c>
      <c r="D18" s="5"/>
      <c r="E18" s="5"/>
      <c r="F18" s="5"/>
      <c r="G18" s="5"/>
      <c r="H18" s="5"/>
      <c r="I18" s="5"/>
      <c r="J18" s="5"/>
      <c r="K18" s="5"/>
      <c r="L18" s="3"/>
      <c r="M18" s="3"/>
    </row>
    <row r="19" spans="1:13" ht="31.95" customHeight="1" x14ac:dyDescent="0.3">
      <c r="A19" s="5">
        <v>13</v>
      </c>
      <c r="B19" s="3" t="s">
        <v>66</v>
      </c>
      <c r="C19" s="5" t="s">
        <v>54</v>
      </c>
      <c r="D19" s="5"/>
      <c r="E19" s="5"/>
      <c r="F19" s="5"/>
      <c r="G19" s="5"/>
      <c r="H19" s="5"/>
      <c r="I19" s="5"/>
      <c r="J19" s="5"/>
      <c r="K19" s="5"/>
      <c r="L19" s="3"/>
      <c r="M19" s="3"/>
    </row>
    <row r="20" spans="1:13" ht="22.05" customHeight="1" x14ac:dyDescent="0.3">
      <c r="A20" s="5">
        <v>14</v>
      </c>
      <c r="B20" s="3" t="s">
        <v>67</v>
      </c>
      <c r="C20" s="5" t="s">
        <v>54</v>
      </c>
      <c r="D20" s="5"/>
      <c r="E20" s="5"/>
      <c r="F20" s="5"/>
      <c r="G20" s="5"/>
      <c r="H20" s="5"/>
      <c r="I20" s="5"/>
      <c r="J20" s="5"/>
      <c r="K20" s="5"/>
      <c r="L20" s="3"/>
      <c r="M20" s="3"/>
    </row>
    <row r="21" spans="1:13" ht="22.05" customHeight="1" x14ac:dyDescent="0.3">
      <c r="A21" s="5">
        <v>15</v>
      </c>
      <c r="B21" s="3" t="s">
        <v>68</v>
      </c>
      <c r="C21" s="5" t="s">
        <v>54</v>
      </c>
      <c r="D21" s="5"/>
      <c r="E21" s="5"/>
      <c r="F21" s="5"/>
      <c r="G21" s="5"/>
      <c r="H21" s="5"/>
      <c r="I21" s="5"/>
      <c r="J21" s="5"/>
      <c r="K21" s="5"/>
      <c r="L21" s="3"/>
      <c r="M21" s="3"/>
    </row>
    <row r="22" spans="1:13" x14ac:dyDescent="0.3">
      <c r="A22" s="14" t="s">
        <v>69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</row>
    <row r="23" spans="1:13" ht="22.05" customHeight="1" x14ac:dyDescent="0.3">
      <c r="A23" s="5">
        <v>16</v>
      </c>
      <c r="B23" s="3" t="s">
        <v>70</v>
      </c>
      <c r="C23" s="5" t="s">
        <v>54</v>
      </c>
      <c r="D23" s="5"/>
      <c r="E23" s="5"/>
      <c r="F23" s="5"/>
      <c r="G23" s="5"/>
      <c r="H23" s="5"/>
      <c r="I23" s="5"/>
      <c r="J23" s="5"/>
      <c r="K23" s="5"/>
      <c r="L23" s="3"/>
      <c r="M23" s="3"/>
    </row>
    <row r="24" spans="1:13" ht="22.05" customHeight="1" x14ac:dyDescent="0.3">
      <c r="A24" s="5">
        <v>17</v>
      </c>
      <c r="B24" s="3" t="s">
        <v>71</v>
      </c>
      <c r="C24" s="5" t="s">
        <v>49</v>
      </c>
      <c r="D24" s="5"/>
      <c r="E24" s="5"/>
      <c r="F24" s="5"/>
      <c r="G24" s="5"/>
      <c r="H24" s="5"/>
      <c r="I24" s="5"/>
      <c r="J24" s="5"/>
      <c r="K24" s="5"/>
      <c r="L24" s="3"/>
      <c r="M24" s="3"/>
    </row>
    <row r="25" spans="1:13" ht="22.05" customHeight="1" x14ac:dyDescent="0.3">
      <c r="A25" s="5">
        <v>18</v>
      </c>
      <c r="B25" s="3" t="s">
        <v>72</v>
      </c>
      <c r="C25" s="5" t="s">
        <v>54</v>
      </c>
      <c r="D25" s="5"/>
      <c r="E25" s="5"/>
      <c r="F25" s="5"/>
      <c r="G25" s="5"/>
      <c r="H25" s="5"/>
      <c r="I25" s="5"/>
      <c r="J25" s="5"/>
      <c r="K25" s="5"/>
      <c r="L25" s="3"/>
      <c r="M25" s="3"/>
    </row>
    <row r="26" spans="1:13" ht="31.95" customHeight="1" x14ac:dyDescent="0.3">
      <c r="A26" s="5">
        <v>19</v>
      </c>
      <c r="B26" s="3" t="s">
        <v>73</v>
      </c>
      <c r="C26" s="5" t="s">
        <v>49</v>
      </c>
      <c r="D26" s="5"/>
      <c r="E26" s="5"/>
      <c r="F26" s="5"/>
      <c r="G26" s="5"/>
      <c r="H26" s="5"/>
      <c r="I26" s="5"/>
      <c r="J26" s="5"/>
      <c r="K26" s="5"/>
      <c r="L26" s="3"/>
      <c r="M26" s="3"/>
    </row>
    <row r="27" spans="1:13" x14ac:dyDescent="0.3">
      <c r="A27" s="14" t="s">
        <v>74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</row>
    <row r="28" ht="32" customHeight="1" spans="1:13" x14ac:dyDescent="0.3">
      <c r="A28" s="5">
        <v>20</v>
      </c>
      <c r="B28" s="6" t="inlineStr">
        <is>
          <t xml:space="preserve">Testes de segurança passando no CI: senha só com hash e rotas protegidas recusando quem não tem permissão</t>
        </is>
      </c>
      <c r="C28" s="5" t="inlineStr">
        <is>
          <t xml:space="preserve">QA</t>
        </is>
      </c>
      <c r="D28" s="5"/>
      <c r="E28" s="5"/>
      <c r="F28" s="5"/>
      <c r="G28" s="5"/>
      <c r="H28" s="5"/>
      <c r="I28" s="5"/>
      <c r="J28" s="5"/>
      <c r="K28" s="5"/>
      <c r="L28" s="3"/>
      <c r="M28" s="3"/>
    </row>
    <row r="29" ht="32" customHeight="1" spans="1:13" x14ac:dyDescent="0.3">
      <c r="A29" s="5">
        <v>21</v>
      </c>
      <c r="B29" s="6" t="inlineStr">
        <is>
          <t xml:space="preserve">Nenhuma chave vendida em duplicidade no teste de concorrência (a partir da Sprint 2)</t>
        </is>
      </c>
      <c r="C29" s="5" t="inlineStr">
        <is>
          <t xml:space="preserve">QA</t>
        </is>
      </c>
      <c r="D29" s="5"/>
      <c r="E29" s="5"/>
      <c r="F29" s="5"/>
      <c r="G29" s="5"/>
      <c r="H29" s="5"/>
      <c r="I29" s="5"/>
      <c r="J29" s="5"/>
      <c r="K29" s="5"/>
      <c r="L29" s="3"/>
      <c r="M29" s="3"/>
    </row>
    <row r="30" ht="32" customHeight="1" spans="1:13" x14ac:dyDescent="0.3">
      <c r="A30" s="5">
        <v>22</v>
      </c>
      <c r="B30" s="6" t="inlineStr">
        <is>
          <t xml:space="preserve">Telas entregues com mensagens de erro em português e estados de carregando, vazio e erro</t>
        </is>
      </c>
      <c r="C30" s="5" t="inlineStr">
        <is>
          <t xml:space="preserve">QA</t>
        </is>
      </c>
      <c r="D30" s="5"/>
      <c r="E30" s="5"/>
      <c r="F30" s="5"/>
      <c r="G30" s="5"/>
      <c r="H30" s="5"/>
      <c r="I30" s="5"/>
      <c r="J30" s="5"/>
      <c r="K30" s="5"/>
      <c r="L30" s="3"/>
      <c r="M30" s="3"/>
    </row>
    <row r="31" ht="32" customHeight="1" spans="1:13" x14ac:dyDescent="0.3">
      <c r="A31" s="5">
        <v>23</v>
      </c>
      <c r="B31" s="6" t="inlineStr">
        <is>
          <t xml:space="preserve">Dashboard GameKeys - Relatórios e datas limite do Jira conferidos</t>
        </is>
      </c>
      <c r="C31" s="5" t="inlineStr">
        <is>
          <t xml:space="preserve">SM</t>
        </is>
      </c>
      <c r="D31" s="5"/>
      <c r="E31" s="5"/>
      <c r="F31" s="5"/>
      <c r="G31" s="5"/>
      <c r="H31" s="5"/>
      <c r="I31" s="5"/>
      <c r="J31" s="5"/>
      <c r="K31" s="5"/>
      <c r="L31" s="3"/>
      <c r="M31" s="3"/>
    </row>
    <row r="33" spans="2:11" x14ac:dyDescent="0.3">
      <c r="B33" s="4" t="s">
        <v>76</v>
      </c>
      <c r="D33" s="7" t="str">
        <f t="shared" ref="D33:K33" si="0">IF(COUNTIF(D4:D31,"Sim")+COUNTIF(D4:D31,"Não")=0,"",COUNTIF(D4:D31,"Sim")/(COUNTIF(D4:D31,"Sim")+COUNTIF(D4:D31,"Não")))</f>
        <v/>
      </c>
      <c r="E33" s="7" t="str">
        <f t="shared" si="0"/>
        <v/>
      </c>
      <c r="F33" s="7" t="str">
        <f t="shared" si="0"/>
        <v/>
      </c>
      <c r="G33" s="7" t="str">
        <f t="shared" si="0"/>
        <v/>
      </c>
      <c r="H33" s="7" t="str">
        <f t="shared" si="0"/>
        <v/>
      </c>
      <c r="I33" s="7" t="str">
        <f t="shared" si="0"/>
        <v/>
      </c>
      <c r="J33" s="7" t="str">
        <f t="shared" si="0"/>
        <v/>
      </c>
      <c r="K33" s="7" t="str">
        <f t="shared" si="0"/>
        <v/>
      </c>
    </row>
    <row r="34" spans="2:11" x14ac:dyDescent="0.3">
      <c r="B34" s="4" t="s">
        <v>77</v>
      </c>
      <c r="D34" s="5">
        <f t="shared" ref="D34:K34" si="1">SUMPRODUCT(--($B$4:$B$31&lt;&gt;""),--(LEFT($B$4:$B$31,2)&lt;&gt;"&lt;&lt;"),--(D4:D31=""),--($C$4:$C$31&lt;&gt;""))</f>
        <v>19</v>
      </c>
      <c r="E34" s="5">
        <f t="shared" si="1"/>
        <v>19</v>
      </c>
      <c r="F34" s="5">
        <f t="shared" si="1"/>
        <v>19</v>
      </c>
      <c r="G34" s="5">
        <f t="shared" si="1"/>
        <v>19</v>
      </c>
      <c r="H34" s="5">
        <f t="shared" si="1"/>
        <v>19</v>
      </c>
      <c r="I34" s="5">
        <f t="shared" si="1"/>
        <v>19</v>
      </c>
      <c r="J34" s="5">
        <f t="shared" si="1"/>
        <v>19</v>
      </c>
      <c r="K34" s="5">
        <f t="shared" si="1"/>
        <v>19</v>
      </c>
    </row>
  </sheetData>
  <mergeCells count="6">
    <mergeCell ref="A1:M1"/>
    <mergeCell ref="A27:M27"/>
    <mergeCell ref="A22:M22"/>
    <mergeCell ref="A4:M4"/>
    <mergeCell ref="A15:M15"/>
    <mergeCell ref="A10:M10"/>
  </mergeCells>
  <conditionalFormatting sqref="D4:K31">
    <cfRule type="cellIs" dxfId="5" priority="1" operator="equal">
      <formula>"Sim"</formula>
    </cfRule>
    <cfRule type="cellIs" dxfId="4" priority="2" operator="equal">
      <formula>"Não"</formula>
    </cfRule>
    <cfRule type="cellIs" dxfId="3" priority="3" operator="equal">
      <formula>"N/A"</formula>
    </cfRule>
  </conditionalFormatting>
  <dataValidations count="1">
    <dataValidation type="list" allowBlank="1" showErrorMessage="1" errorTitle="Valor inválido" error="Escolha Sim, Não ou N/A." sqref="D4:G36 D4:K31" xr:uid="{00000000-0002-0000-0100-000000000000}">
      <formula1>"Sim,Não,N/A"</formula1>
    </dataValidation>
  </dataValidations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9"/>
  <sheetViews>
    <sheetView showGridLines="0" workbookViewId="0">
      <pane xSplit="3" ySplit="3" topLeftCell="D4" activePane="bottomRight" state="frozen"/>
      <selection pane="topRight"/>
      <selection pane="bottomLeft"/>
      <selection pane="bottomRight" sqref="A1:I1"/>
    </sheetView>
  </sheetViews>
  <sheetFormatPr defaultRowHeight="14.4" x14ac:dyDescent="0.3"/>
  <cols>
    <col min="1" max="1" width="5" customWidth="1"/>
    <col min="2" max="2" width="58" customWidth="1"/>
    <col min="3" max="3" width="16" customWidth="1"/>
    <col min="4" max="7" width="11" customWidth="1"/>
    <col min="8" max="9" width="34" customWidth="1"/>
  </cols>
  <sheetData>
    <row r="1" spans="1:9" ht="25.95" customHeight="1" x14ac:dyDescent="0.3">
      <c r="A1" s="13" t="s">
        <v>78</v>
      </c>
      <c r="B1" s="10"/>
      <c r="C1" s="10"/>
      <c r="D1" s="10"/>
      <c r="E1" s="10"/>
      <c r="F1" s="10"/>
      <c r="G1" s="10"/>
      <c r="H1" s="10"/>
      <c r="I1" s="10"/>
    </row>
    <row r="3" spans="1:9" ht="31.95" customHeight="1" x14ac:dyDescent="0.3">
      <c r="A3" s="2" t="s">
        <v>34</v>
      </c>
      <c r="B3" s="2" t="s">
        <v>35</v>
      </c>
      <c r="C3" s="2" t="s">
        <v>36</v>
      </c>
      <c r="D3" s="2" t="s">
        <v>79</v>
      </c>
      <c r="E3" s="2" t="s">
        <v>80</v>
      </c>
      <c r="F3" s="2" t="s">
        <v>81</v>
      </c>
      <c r="G3" s="2" t="s">
        <v>82</v>
      </c>
      <c r="H3" s="2" t="s">
        <v>45</v>
      </c>
      <c r="I3" s="2" t="s">
        <v>46</v>
      </c>
    </row>
    <row r="4" spans="1:9" x14ac:dyDescent="0.3">
      <c r="A4" s="14" t="s">
        <v>83</v>
      </c>
      <c r="B4" s="8"/>
      <c r="C4" s="8"/>
      <c r="D4" s="8"/>
      <c r="E4" s="8"/>
      <c r="F4" s="8"/>
      <c r="G4" s="8"/>
      <c r="H4" s="8"/>
      <c r="I4" s="8"/>
    </row>
    <row r="5" spans="1:9" ht="22.05" customHeight="1" x14ac:dyDescent="0.3">
      <c r="A5" s="5">
        <v>1</v>
      </c>
      <c r="B5" s="3" t="s">
        <v>84</v>
      </c>
      <c r="C5" s="5" t="s">
        <v>49</v>
      </c>
      <c r="D5" s="5"/>
      <c r="E5" s="5"/>
      <c r="F5" s="5"/>
      <c r="G5" s="5"/>
      <c r="H5" s="3"/>
      <c r="I5" s="3"/>
    </row>
    <row r="6" spans="1:9" ht="22.05" customHeight="1" x14ac:dyDescent="0.3">
      <c r="A6" s="5">
        <v>2</v>
      </c>
      <c r="B6" s="3" t="s">
        <v>85</v>
      </c>
      <c r="C6" s="5" t="s">
        <v>58</v>
      </c>
      <c r="D6" s="5" t="s">
        <v>86</v>
      </c>
      <c r="E6" s="5"/>
      <c r="F6" s="5"/>
      <c r="G6" s="5"/>
      <c r="H6" s="3"/>
      <c r="I6" s="3"/>
    </row>
    <row r="7" spans="1:9" ht="22.05" customHeight="1" x14ac:dyDescent="0.3">
      <c r="A7" s="5">
        <v>3</v>
      </c>
      <c r="B7" s="3" t="s">
        <v>87</v>
      </c>
      <c r="C7" s="5" t="s">
        <v>58</v>
      </c>
      <c r="D7" s="5"/>
      <c r="E7" s="5"/>
      <c r="F7" s="5"/>
      <c r="G7" s="5"/>
      <c r="H7" s="3"/>
      <c r="I7" s="3"/>
    </row>
    <row r="8" spans="1:9" ht="22.05" customHeight="1" x14ac:dyDescent="0.3">
      <c r="A8" s="5">
        <v>4</v>
      </c>
      <c r="B8" s="3" t="s">
        <v>88</v>
      </c>
      <c r="C8" s="5" t="s">
        <v>51</v>
      </c>
      <c r="D8" s="5"/>
      <c r="E8" s="5"/>
      <c r="F8" s="5"/>
      <c r="G8" s="5"/>
      <c r="H8" s="3"/>
      <c r="I8" s="3"/>
    </row>
    <row r="9" spans="1:9" ht="22.05" customHeight="1" x14ac:dyDescent="0.3">
      <c r="A9" s="5">
        <v>5</v>
      </c>
      <c r="B9" s="3" t="s">
        <v>89</v>
      </c>
      <c r="C9" s="5" t="s">
        <v>58</v>
      </c>
      <c r="D9" s="5"/>
      <c r="E9" s="5"/>
      <c r="F9" s="5"/>
      <c r="G9" s="5"/>
      <c r="H9" s="3"/>
      <c r="I9" s="3"/>
    </row>
    <row r="10" spans="1:9" x14ac:dyDescent="0.3">
      <c r="A10" s="14" t="s">
        <v>90</v>
      </c>
      <c r="B10" s="8"/>
      <c r="C10" s="8"/>
      <c r="D10" s="8"/>
      <c r="E10" s="8"/>
      <c r="F10" s="8"/>
      <c r="G10" s="8"/>
      <c r="H10" s="8"/>
      <c r="I10" s="8"/>
    </row>
    <row r="11" spans="1:9" ht="22.05" customHeight="1" x14ac:dyDescent="0.3">
      <c r="A11" s="5">
        <v>6</v>
      </c>
      <c r="B11" s="3" t="s">
        <v>91</v>
      </c>
      <c r="C11" s="5" t="s">
        <v>49</v>
      </c>
      <c r="D11" s="5"/>
      <c r="E11" s="5"/>
      <c r="F11" s="5"/>
      <c r="G11" s="5"/>
      <c r="H11" s="3"/>
      <c r="I11" s="3"/>
    </row>
    <row r="12" spans="1:9" ht="31.95" customHeight="1" x14ac:dyDescent="0.3">
      <c r="A12" s="5">
        <v>7</v>
      </c>
      <c r="B12" s="3" t="s">
        <v>92</v>
      </c>
      <c r="C12" s="5" t="s">
        <v>51</v>
      </c>
      <c r="D12" s="5"/>
      <c r="E12" s="5"/>
      <c r="F12" s="5"/>
      <c r="G12" s="5"/>
      <c r="H12" s="3"/>
      <c r="I12" s="3"/>
    </row>
    <row r="13" spans="1:9" ht="31.95" customHeight="1" x14ac:dyDescent="0.3">
      <c r="A13" s="5">
        <v>8</v>
      </c>
      <c r="B13" s="3" t="s">
        <v>93</v>
      </c>
      <c r="C13" s="5" t="s">
        <v>54</v>
      </c>
      <c r="D13" s="5"/>
      <c r="E13" s="5"/>
      <c r="F13" s="5"/>
      <c r="G13" s="5"/>
      <c r="H13" s="3"/>
      <c r="I13" s="3"/>
    </row>
    <row r="14" spans="1:9" ht="22.05" customHeight="1" x14ac:dyDescent="0.3">
      <c r="A14" s="5">
        <v>9</v>
      </c>
      <c r="B14" s="3" t="s">
        <v>94</v>
      </c>
      <c r="C14" s="5" t="s">
        <v>58</v>
      </c>
      <c r="D14" s="5"/>
      <c r="E14" s="5"/>
      <c r="F14" s="5"/>
      <c r="G14" s="5"/>
      <c r="H14" s="3"/>
      <c r="I14" s="3"/>
    </row>
    <row r="15" spans="1:9" ht="31.95" customHeight="1" x14ac:dyDescent="0.3">
      <c r="A15" s="5">
        <v>10</v>
      </c>
      <c r="B15" s="3" t="s">
        <v>95</v>
      </c>
      <c r="C15" s="5" t="s">
        <v>54</v>
      </c>
      <c r="D15" s="5"/>
      <c r="E15" s="5"/>
      <c r="F15" s="5"/>
      <c r="G15" s="5"/>
      <c r="H15" s="3"/>
      <c r="I15" s="3"/>
    </row>
    <row r="16" spans="1:9" x14ac:dyDescent="0.3">
      <c r="A16" s="14" t="s">
        <v>96</v>
      </c>
      <c r="B16" s="8"/>
      <c r="C16" s="8"/>
      <c r="D16" s="8"/>
      <c r="E16" s="8"/>
      <c r="F16" s="8"/>
      <c r="G16" s="8"/>
      <c r="H16" s="8"/>
      <c r="I16" s="8"/>
    </row>
    <row r="17" spans="1:9" ht="31.95" customHeight="1" x14ac:dyDescent="0.3">
      <c r="A17" s="5">
        <v>11</v>
      </c>
      <c r="B17" s="3" t="s">
        <v>97</v>
      </c>
      <c r="C17" s="5" t="s">
        <v>49</v>
      </c>
      <c r="D17" s="5"/>
      <c r="E17" s="5"/>
      <c r="F17" s="5"/>
      <c r="G17" s="5" t="s">
        <v>86</v>
      </c>
      <c r="H17" s="3"/>
      <c r="I17" s="3"/>
    </row>
    <row r="18" spans="1:9" ht="22.05" customHeight="1" x14ac:dyDescent="0.3">
      <c r="A18" s="5">
        <v>12</v>
      </c>
      <c r="B18" s="3" t="s">
        <v>98</v>
      </c>
      <c r="C18" s="5" t="s">
        <v>54</v>
      </c>
      <c r="D18" s="5"/>
      <c r="E18" s="5"/>
      <c r="F18" s="5"/>
      <c r="G18" s="5" t="s">
        <v>86</v>
      </c>
      <c r="H18" s="3"/>
      <c r="I18" s="3"/>
    </row>
    <row r="19" spans="1:9" ht="22.05" customHeight="1" x14ac:dyDescent="0.3">
      <c r="A19" s="5">
        <v>13</v>
      </c>
      <c r="B19" s="3" t="s">
        <v>99</v>
      </c>
      <c r="C19" s="5" t="s">
        <v>54</v>
      </c>
      <c r="D19" s="5"/>
      <c r="E19" s="5"/>
      <c r="F19" s="5"/>
      <c r="G19" s="5" t="s">
        <v>86</v>
      </c>
      <c r="H19" s="3"/>
      <c r="I19" s="3"/>
    </row>
    <row r="20" spans="1:9" ht="22.05" customHeight="1" x14ac:dyDescent="0.3">
      <c r="A20" s="5">
        <v>14</v>
      </c>
      <c r="B20" s="3" t="s">
        <v>100</v>
      </c>
      <c r="C20" s="5" t="s">
        <v>54</v>
      </c>
      <c r="D20" s="5"/>
      <c r="E20" s="5"/>
      <c r="F20" s="5"/>
      <c r="G20" s="5"/>
      <c r="H20" s="3"/>
      <c r="I20" s="3"/>
    </row>
    <row r="21" spans="1:9" ht="22.05" customHeight="1" x14ac:dyDescent="0.3">
      <c r="A21" s="5">
        <v>15</v>
      </c>
      <c r="B21" s="3" t="s">
        <v>72</v>
      </c>
      <c r="C21" s="5" t="s">
        <v>54</v>
      </c>
      <c r="D21" s="5"/>
      <c r="E21" s="5"/>
      <c r="F21" s="5"/>
      <c r="G21" s="5"/>
      <c r="H21" s="3"/>
      <c r="I21" s="3"/>
    </row>
    <row r="22" spans="1:9" x14ac:dyDescent="0.3">
      <c r="A22" s="14" t="s">
        <v>101</v>
      </c>
      <c r="B22" s="8"/>
      <c r="C22" s="8"/>
      <c r="D22" s="8"/>
      <c r="E22" s="8"/>
      <c r="F22" s="8"/>
      <c r="G22" s="8"/>
      <c r="H22" s="8"/>
      <c r="I22" s="8"/>
    </row>
    <row r="23" spans="1:9" ht="31.95" customHeight="1" x14ac:dyDescent="0.3">
      <c r="A23" s="5">
        <v>16</v>
      </c>
      <c r="B23" s="3" t="s">
        <v>102</v>
      </c>
      <c r="C23" s="5" t="s">
        <v>49</v>
      </c>
      <c r="D23" s="5" t="s">
        <v>86</v>
      </c>
      <c r="E23" s="5" t="s">
        <v>86</v>
      </c>
      <c r="F23" s="5" t="s">
        <v>86</v>
      </c>
      <c r="G23" s="5"/>
      <c r="H23" s="3"/>
      <c r="I23" s="3"/>
    </row>
    <row r="24" spans="1:9" ht="31.95" customHeight="1" x14ac:dyDescent="0.3">
      <c r="A24" s="5">
        <v>17</v>
      </c>
      <c r="B24" s="3" t="s">
        <v>103</v>
      </c>
      <c r="C24" s="5" t="s">
        <v>49</v>
      </c>
      <c r="D24" s="5" t="s">
        <v>86</v>
      </c>
      <c r="E24" s="5" t="s">
        <v>86</v>
      </c>
      <c r="F24" s="5" t="s">
        <v>86</v>
      </c>
      <c r="G24" s="5"/>
      <c r="H24" s="3"/>
      <c r="I24" s="3"/>
    </row>
    <row r="25" spans="1:9" ht="31.95" customHeight="1" x14ac:dyDescent="0.3">
      <c r="A25" s="5">
        <v>18</v>
      </c>
      <c r="B25" s="3" t="s">
        <v>104</v>
      </c>
      <c r="C25" s="5" t="s">
        <v>54</v>
      </c>
      <c r="D25" s="5" t="s">
        <v>86</v>
      </c>
      <c r="E25" s="5" t="s">
        <v>86</v>
      </c>
      <c r="F25" s="5" t="s">
        <v>86</v>
      </c>
      <c r="G25" s="5"/>
      <c r="H25" s="3"/>
      <c r="I25" s="3"/>
    </row>
    <row r="26" spans="1:9" ht="22.05" customHeight="1" x14ac:dyDescent="0.3">
      <c r="A26" s="5">
        <v>19</v>
      </c>
      <c r="B26" s="3" t="s">
        <v>105</v>
      </c>
      <c r="C26" s="5" t="s">
        <v>54</v>
      </c>
      <c r="D26" s="5" t="s">
        <v>86</v>
      </c>
      <c r="E26" s="5" t="s">
        <v>86</v>
      </c>
      <c r="F26" s="5" t="s">
        <v>86</v>
      </c>
      <c r="G26" s="5"/>
      <c r="H26" s="3"/>
      <c r="I26" s="3"/>
    </row>
    <row r="27" spans="1:9" ht="31.95" customHeight="1" x14ac:dyDescent="0.3">
      <c r="A27" s="5">
        <v>20</v>
      </c>
      <c r="B27" s="3" t="s">
        <v>106</v>
      </c>
      <c r="C27" s="5" t="s">
        <v>54</v>
      </c>
      <c r="D27" s="5" t="s">
        <v>86</v>
      </c>
      <c r="E27" s="5" t="s">
        <v>86</v>
      </c>
      <c r="F27" s="5" t="s">
        <v>86</v>
      </c>
      <c r="G27" s="5"/>
      <c r="H27" s="3"/>
      <c r="I27" s="3"/>
    </row>
    <row r="28" spans="1:9" ht="31.95" customHeight="1" x14ac:dyDescent="0.3">
      <c r="A28" s="5">
        <v>21</v>
      </c>
      <c r="B28" s="3" t="inlineStr">
        <is>
          <t xml:space="preserve">Capturas das métricas do Jira (dashboard, burndown e velocity) ao longo do semestre</t>
        </is>
      </c>
      <c r="C28" s="5" t="s">
        <v>54</v>
      </c>
      <c r="D28" s="5" t="s">
        <v>86</v>
      </c>
      <c r="E28" s="5" t="s">
        <v>86</v>
      </c>
      <c r="F28" s="5" t="s">
        <v>86</v>
      </c>
      <c r="G28" s="5"/>
      <c r="H28" s="3"/>
      <c r="I28" s="3"/>
    </row>
    <row r="29" spans="1:9" ht="22.05" customHeight="1" x14ac:dyDescent="0.3">
      <c r="A29" s="5">
        <v>22</v>
      </c>
      <c r="B29" s="3" t="s">
        <v>108</v>
      </c>
      <c r="C29" s="5" t="s">
        <v>54</v>
      </c>
      <c r="D29" s="5" t="s">
        <v>86</v>
      </c>
      <c r="E29" s="5" t="s">
        <v>86</v>
      </c>
      <c r="F29" s="5" t="s">
        <v>86</v>
      </c>
      <c r="G29" s="5"/>
      <c r="H29" s="3"/>
      <c r="I29" s="3"/>
    </row>
    <row r="30" spans="1:9" ht="31.95" customHeight="1" x14ac:dyDescent="0.3">
      <c r="A30" s="5">
        <v>23</v>
      </c>
      <c r="B30" s="3" t="s">
        <v>109</v>
      </c>
      <c r="C30" s="5" t="s">
        <v>58</v>
      </c>
      <c r="D30" s="5" t="s">
        <v>86</v>
      </c>
      <c r="E30" s="5" t="s">
        <v>86</v>
      </c>
      <c r="F30" s="5" t="s">
        <v>86</v>
      </c>
      <c r="G30" s="5"/>
      <c r="H30" s="3"/>
      <c r="I30" s="3"/>
    </row>
    <row r="31" spans="1:9" ht="22.05" customHeight="1" x14ac:dyDescent="0.3">
      <c r="A31" s="5">
        <v>24</v>
      </c>
      <c r="B31" s="3" t="s">
        <v>110</v>
      </c>
      <c r="C31" s="5" t="s">
        <v>51</v>
      </c>
      <c r="D31" s="5" t="s">
        <v>86</v>
      </c>
      <c r="E31" s="5" t="s">
        <v>86</v>
      </c>
      <c r="F31" s="5" t="s">
        <v>86</v>
      </c>
      <c r="G31" s="5"/>
      <c r="H31" s="3"/>
      <c r="I31" s="3"/>
    </row>
    <row r="32" spans="1:9" x14ac:dyDescent="0.3">
      <c r="A32" s="14" t="s">
        <v>74</v>
      </c>
      <c r="B32" s="8"/>
      <c r="C32" s="8"/>
      <c r="D32" s="8"/>
      <c r="E32" s="8"/>
      <c r="F32" s="8"/>
      <c r="G32" s="8"/>
      <c r="H32" s="8"/>
      <c r="I32" s="8"/>
    </row>
    <row r="33" ht="32" customHeight="1" spans="1:9" x14ac:dyDescent="0.3">
      <c r="A33" s="5">
        <v>25</v>
      </c>
      <c r="B33" s="6" t="inlineStr">
        <is>
          <t xml:space="preserve">Metas do Plano de Qualidade medidas e registradas no relatório de qualidade da release</t>
        </is>
      </c>
      <c r="C33" s="5" t="inlineStr">
        <is>
          <t xml:space="preserve">QA</t>
        </is>
      </c>
      <c r="D33" s="5"/>
      <c r="E33" s="5"/>
      <c r="F33" s="5"/>
      <c r="G33" s="5"/>
      <c r="H33" s="3"/>
      <c r="I33" s="3"/>
    </row>
    <row r="34" ht="32" customHeight="1" spans="1:9" x14ac:dyDescent="0.3">
      <c r="A34" s="5">
        <v>26</v>
      </c>
      <c r="B34" s="6" t="inlineStr">
        <is>
          <t xml:space="preserve">Drivers arquiteturais da release verificados, com resultado obtido e evidência</t>
        </is>
      </c>
      <c r="C34" s="5" t="inlineStr">
        <is>
          <t xml:space="preserve">QA</t>
        </is>
      </c>
      <c r="D34" s="5"/>
      <c r="E34" s="5"/>
      <c r="F34" s="5"/>
      <c r="G34" s="5"/>
      <c r="H34" s="3"/>
      <c r="I34" s="3"/>
    </row>
    <row r="35" ht="32" customHeight="1" spans="1:9" x14ac:dyDescent="0.3">
      <c r="A35" s="5">
        <v>27</v>
      </c>
      <c r="B35" s="6" t="inlineStr">
        <is>
          <t xml:space="preserve">Teste de usabilidade com colegas no fluxo principal (a partir da Release 2)</t>
        </is>
      </c>
      <c r="C35" s="5" t="inlineStr">
        <is>
          <t xml:space="preserve">PO</t>
        </is>
      </c>
      <c r="D35" s="5"/>
      <c r="E35" s="5"/>
      <c r="F35" s="5"/>
      <c r="G35" s="5"/>
      <c r="H35" s="3"/>
      <c r="I35" s="3"/>
    </row>
    <row r="36" ht="32" customHeight="1" spans="1:9" x14ac:dyDescent="0.3">
      <c r="A36" s="5">
        <v>28</v>
      </c>
      <c r="B36" s="6" t="inlineStr">
        <is>
          <t xml:space="preserve">Versão marcada como lançada no Jira (Releases)</t>
        </is>
      </c>
      <c r="C36" s="5" t="inlineStr">
        <is>
          <t xml:space="preserve">DevOps</t>
        </is>
      </c>
      <c r="D36" s="5"/>
      <c r="E36" s="5"/>
      <c r="F36" s="5"/>
      <c r="G36" s="5"/>
      <c r="H36" s="3"/>
      <c r="I36" s="3"/>
    </row>
    <row r="38" spans="1:9" x14ac:dyDescent="0.3">
      <c r="B38" s="4" t="s">
        <v>76</v>
      </c>
      <c r="D38" s="7" t="str">
        <f>IF(COUNTIF(D4:D36,"Sim")+COUNTIF(D4:D36,"Não")=0,"",COUNTIF(D4:D36,"Sim")/(COUNTIF(D4:D36,"Sim")+COUNTIF(D4:D36,"Não")))</f>
        <v/>
      </c>
      <c r="E38" s="7" t="str">
        <f>IF(COUNTIF(E4:E36,"Sim")+COUNTIF(E4:E36,"Não")=0,"",COUNTIF(E4:E36,"Sim")/(COUNTIF(E4:E36,"Sim")+COUNTIF(E4:E36,"Não")))</f>
        <v/>
      </c>
      <c r="F38" s="7" t="str">
        <f>IF(COUNTIF(F4:F36,"Sim")+COUNTIF(F4:F36,"Não")=0,"",COUNTIF(F4:F36,"Sim")/(COUNTIF(F4:F36,"Sim")+COUNTIF(F4:F36,"Não")))</f>
        <v/>
      </c>
      <c r="G38" s="7" t="str">
        <f>IF(COUNTIF(G4:G36,"Sim")+COUNTIF(G4:G36,"Não")=0,"",COUNTIF(G4:G36,"Sim")/(COUNTIF(G4:G36,"Sim")+COUNTIF(G4:G36,"Não")))</f>
        <v/>
      </c>
    </row>
    <row r="39" spans="1:9" x14ac:dyDescent="0.3">
      <c r="B39" s="4" t="s">
        <v>77</v>
      </c>
      <c r="D39" s="5">
        <f>SUMPRODUCT(--($B$4:$B$36&lt;&gt;""),--(LEFT($B$4:$B$36,2)&lt;&gt;"&lt;&lt;"),--(D4:D36=""),--($C$4:$C$36&lt;&gt;""))</f>
        <v>14</v>
      </c>
      <c r="E39" s="5">
        <f>SUMPRODUCT(--($B$4:$B$36&lt;&gt;""),--(LEFT($B$4:$B$36,2)&lt;&gt;"&lt;&lt;"),--(E4:E36=""),--($C$4:$C$36&lt;&gt;""))</f>
        <v>15</v>
      </c>
      <c r="F39" s="5">
        <f>SUMPRODUCT(--($B$4:$B$36&lt;&gt;""),--(LEFT($B$4:$B$36,2)&lt;&gt;"&lt;&lt;"),--(F4:F36=""),--($C$4:$C$36&lt;&gt;""))</f>
        <v>15</v>
      </c>
      <c r="G39" s="5">
        <f>SUMPRODUCT(--($B$4:$B$36&lt;&gt;""),--(LEFT($B$4:$B$36,2)&lt;&gt;"&lt;&lt;"),--(G4:G36=""),--($C$4:$C$36&lt;&gt;""))</f>
        <v>21</v>
      </c>
    </row>
  </sheetData>
  <mergeCells count="6">
    <mergeCell ref="A10:I10"/>
    <mergeCell ref="A32:I32"/>
    <mergeCell ref="A1:I1"/>
    <mergeCell ref="A22:I22"/>
    <mergeCell ref="A4:I4"/>
    <mergeCell ref="A16:I16"/>
  </mergeCells>
  <conditionalFormatting sqref="D4:G36">
    <cfRule type="cellIs" dxfId="2" priority="1" operator="equal">
      <formula>"Sim"</formula>
    </cfRule>
    <cfRule type="cellIs" dxfId="1" priority="2" operator="equal">
      <formula>"Não"</formula>
    </cfRule>
    <cfRule type="cellIs" dxfId="0" priority="3" operator="equal">
      <formula>"N/A"</formula>
    </cfRule>
  </conditionalFormatting>
  <dataValidations count="1">
    <dataValidation type="list" allowBlank="1" showErrorMessage="1" errorTitle="Valor inválido" error="Escolha Sim, Não ou N/A." sqref="D4:G36 D4:K31" xr:uid="{00000000-0002-0000-0200-000000000000}">
      <formula1>"Sim,Não,N/A"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Acordo da equipe</vt:lpstr>
      <vt:lpstr>DoD da Sprint</vt:lpstr>
      <vt:lpstr>DoD da Release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Ana Isabella Muniz</cp:lastModifiedBy>
  <dcterms:created xsi:type="dcterms:W3CDTF">2026-10-15T02:21:49Z</dcterms:created>
  <dcterms:modified xsi:type="dcterms:W3CDTF">2026-10-15T02:24:37Z</dcterms:modified>
</cp:coreProperties>
</file>