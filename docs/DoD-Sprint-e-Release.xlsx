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ordo da equipe" sheetId="1" state="visible" r:id="rId1"/>
    <sheet name="DoD da Sprint" sheetId="2" state="visible" r:id="rId2"/>
    <sheet name="DoD da Rel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3"/>
    </font>
    <font>
      <name val="Calibri"/>
      <i val="1"/>
      <color rgb="FF888888"/>
      <sz val="11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dxfs count="6">
    <dxf>
      <fill>
        <patternFill>
          <bgColor rgb="FFEFEFEF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EFEFEF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4"/>
  <sheetViews>
    <sheetView showGridLines="0" workbookViewId="0">
      <selection activeCell="A1" sqref="A1"/>
    </sheetView>
  </sheetViews>
  <sheetFormatPr baseColWidth="8" defaultRowHeight="14.39999961853027"/>
  <cols>
    <col width="3" customWidth="1" style="10" min="1" max="1"/>
    <col width="34.44140625" customWidth="1" style="10" min="2" max="2"/>
    <col width="26" customWidth="1" style="10" min="3" max="6"/>
  </cols>
  <sheetData>
    <row r="1" ht="25.95000076293945" customHeight="1" s="10">
      <c r="B1" s="12" t="inlineStr">
        <is>
          <t>DEFINITION OF DONE – SPRINT E RELEASE</t>
        </is>
      </c>
    </row>
    <row r="3">
      <c r="B3" s="14" t="inlineStr">
        <is>
          <t>Projeto</t>
        </is>
      </c>
      <c r="C3" s="8" t="inlineStr">
        <is>
          <t>GameKeys - loja web de jogos digitais vendidos por chave de ativação</t>
        </is>
      </c>
      <c r="D3" s="15" t="n"/>
      <c r="E3" s="15" t="n"/>
      <c r="F3" s="16" t="n"/>
    </row>
    <row r="4">
      <c r="B4" s="14" t="inlineStr">
        <is>
          <t>Equipe</t>
        </is>
      </c>
      <c r="C4" s="8" t="inlineStr">
        <is>
          <t>Pedro Lucas Vaz de Andrade, Wagner Tiburcio da Silva Junior e Rodrigo Almeida Gomes</t>
        </is>
      </c>
      <c r="D4" s="15" t="n"/>
      <c r="E4" s="15" t="n"/>
      <c r="F4" s="16" t="n"/>
    </row>
    <row r="5">
      <c r="B5" s="14" t="inlineStr">
        <is>
          <t>Versão</t>
        </is>
      </c>
      <c r="C5" s="8" t="inlineStr">
        <is>
          <t>1.0</t>
        </is>
      </c>
      <c r="D5" s="15" t="n"/>
      <c r="E5" s="15" t="n"/>
      <c r="F5" s="16" t="n"/>
    </row>
    <row r="6">
      <c r="B6" s="14" t="inlineStr">
        <is>
          <t>Data do acordo</t>
        </is>
      </c>
      <c r="C6" s="8" t="inlineStr">
        <is>
          <t>19/10/2026</t>
        </is>
      </c>
      <c r="D6" s="15" t="n"/>
      <c r="E6" s="15" t="n"/>
      <c r="F6" s="16" t="n"/>
    </row>
    <row r="7">
      <c r="B7" s="14" t="inlineStr">
        <is>
          <t>Acordada na</t>
        </is>
      </c>
      <c r="C7" s="8" t="inlineStr">
        <is>
          <t>Sprint 0 (apresentada na Planning da Sprint 1, em 20/10/2026)</t>
        </is>
      </c>
      <c r="D7" s="15" t="n"/>
      <c r="E7" s="15" t="n"/>
      <c r="F7" s="16" t="n"/>
    </row>
    <row r="8">
      <c r="B8" s="14" t="inlineStr">
        <is>
          <t>Responsável pela manutenção (SM)</t>
        </is>
      </c>
      <c r="C8" s="8" t="inlineStr">
        <is>
          <t>Pedro Lucas Vaz de Andrade (Release 2; Rodrigo Almeida Gomes na Release 1)</t>
        </is>
      </c>
      <c r="D8" s="15" t="n"/>
      <c r="E8" s="15" t="n"/>
      <c r="F8" s="16" t="n"/>
    </row>
    <row r="9">
      <c r="B9" s="14" t="inlineStr">
        <is>
          <t>Repositório</t>
        </is>
      </c>
      <c r="C9" s="8" t="inlineStr">
        <is>
          <t>https://github.com/PedroLuvaz/gamekeys-uepb-2026-2</t>
        </is>
      </c>
      <c r="D9" s="15" t="n"/>
      <c r="E9" s="15" t="n"/>
      <c r="F9" s="16" t="n"/>
    </row>
    <row r="11">
      <c r="B11" s="11" t="inlineStr">
        <is>
          <t>COMO USAR</t>
        </is>
      </c>
    </row>
    <row r="12" ht="31.95000076293945" customHeight="1" s="10">
      <c r="B12" s="9" t="inlineStr">
        <is>
          <t>A DoD de US (por história de usuário) fica no template da US e no pull request. Esta planilha cobre os níveis de SPRINT e de RELEASE.</t>
        </is>
      </c>
    </row>
    <row r="13" ht="31.95000076293945" customHeight="1" s="10">
      <c r="B13" s="9" t="inlineStr">
        <is>
          <t>A DoD é apresentada na Sprint Planning e verificada item a item na Sprint Review. Quem verifica: QA. Quem aceita: PO. Quem mantém o acordo: SM.</t>
        </is>
      </c>
    </row>
    <row r="14" ht="31.95000076293945" customHeight="1" s="10">
      <c r="B14" s="9" t="inlineStr">
        <is>
          <t>Em cada coluna de sprint ou release, escolha Sim, Não ou N/A (não se aplica). Registre em "Evidência" o link ou arquivo que comprova o item.</t>
        </is>
      </c>
    </row>
    <row r="15" ht="31.95000076293945" customHeight="1" s="10">
      <c r="B15" s="9" t="inlineStr">
        <is>
          <t>Um critério marcado "Não" precisa de uma observação (motivo e plano) e volta ao backlog ou à próxima sprint.</t>
        </is>
      </c>
    </row>
    <row r="16" ht="31.95000076293945" customHeight="1" s="10">
      <c r="B16" s="9" t="inlineStr">
        <is>
          <t>Cada equipe pode editar, remover ou acrescentar critérios nas linhas "Critérios da equipe", desde que o acordo seja registrado no histórico abaixo.</t>
        </is>
      </c>
    </row>
    <row r="17" ht="31.95000076293945" customHeight="1" s="10">
      <c r="B17" s="9" t="inlineStr">
        <is>
          <t>A linha de percentual no fim de cada aba calcula o que foi cumprido, ignorando os N/A.</t>
        </is>
      </c>
    </row>
    <row r="19">
      <c r="B19" s="11" t="inlineStr">
        <is>
          <t>HISTÓRICO DE REVISÃO DO ACORDO (revisar na Retrospectiva de cada release)</t>
        </is>
      </c>
    </row>
    <row r="20">
      <c r="B20" s="2" t="inlineStr">
        <is>
          <t>Data</t>
        </is>
      </c>
      <c r="C20" s="2" t="inlineStr">
        <is>
          <t>Versão</t>
        </is>
      </c>
      <c r="D20" s="2" t="inlineStr">
        <is>
          <t>Mudança</t>
        </is>
      </c>
      <c r="E20" s="2" t="inlineStr">
        <is>
          <t>Motivo</t>
        </is>
      </c>
      <c r="F20" s="2" t="inlineStr">
        <is>
          <t>Aprovado por</t>
        </is>
      </c>
    </row>
    <row r="21" ht="60" customHeight="1" s="10">
      <c r="B21" s="3" t="inlineStr">
        <is>
          <t>19/10/2026</t>
        </is>
      </c>
      <c r="C21" s="3" t="inlineStr">
        <is>
          <t>1.0</t>
        </is>
      </c>
      <c r="D21" s="3" t="inlineStr">
        <is>
          <t>Versão inicial a partir do template da disciplina. Troca de GitHub Projects por Jira nos critérios 10 e 21, e critérios da equipe ligados aos 3 atributos de qualidade (segurança, confiabilidade e usabilidade).</t>
        </is>
      </c>
      <c r="E21" s="3" t="inlineStr">
        <is>
          <t>A disciplina passou a usar o Jira e o Plano de Qualidade definiu os 3 atributos.</t>
        </is>
      </c>
      <c r="F21" s="3" t="inlineStr">
        <is>
          <t>Equipe (Pedro, Wagner e Rodrigo) na Planning da Sprint 1, em 20/10/2026</t>
        </is>
      </c>
    </row>
    <row r="22">
      <c r="B22" s="3" t="n"/>
      <c r="C22" s="3" t="n"/>
      <c r="D22" s="3" t="n"/>
      <c r="E22" s="3" t="n"/>
      <c r="F22" s="3" t="n"/>
    </row>
    <row r="23">
      <c r="B23" s="3" t="n"/>
      <c r="C23" s="3" t="n"/>
      <c r="D23" s="3" t="n"/>
      <c r="E23" s="3" t="n"/>
      <c r="F23" s="3" t="n"/>
    </row>
    <row r="24">
      <c r="B24" s="3" t="n"/>
      <c r="C24" s="3" t="n"/>
      <c r="D24" s="3" t="n"/>
      <c r="E24" s="3" t="n"/>
      <c r="F24" s="3" t="n"/>
    </row>
    <row r="25">
      <c r="B25" s="3" t="n"/>
      <c r="C25" s="3" t="n"/>
      <c r="D25" s="3" t="n"/>
      <c r="E25" s="3" t="n"/>
      <c r="F25" s="3" t="n"/>
    </row>
    <row r="28">
      <c r="B28" s="4" t="inlineStr">
        <is>
          <t>Assinaturas de ciência (nomes dos integrantes e papel nesta release)</t>
        </is>
      </c>
    </row>
    <row r="29">
      <c r="B29" s="8" t="inlineStr">
        <is>
          <t>Pedro Lucas Vaz de Andrade - PO e DevOps (Release 1) - de acordo em 20/10/2026</t>
        </is>
      </c>
      <c r="C29" s="15" t="n"/>
      <c r="D29" s="15" t="n"/>
      <c r="E29" s="15" t="n"/>
      <c r="F29" s="16" t="n"/>
    </row>
    <row r="30">
      <c r="B30" s="8" t="inlineStr">
        <is>
          <t>Wagner Tiburcio da Silva Junior - QA (Release 1) - de acordo em 20/10/2026</t>
        </is>
      </c>
      <c r="C30" s="15" t="n"/>
      <c r="D30" s="15" t="n"/>
      <c r="E30" s="15" t="n"/>
      <c r="F30" s="16" t="n"/>
    </row>
    <row r="31" s="10">
      <c r="B31" s="8" t="inlineStr">
        <is>
          <t>Rodrigo Almeida Gomes - Scrum Master (Release 1) - de acordo em 20/10/2026</t>
        </is>
      </c>
      <c r="C31" s="15" t="n"/>
      <c r="D31" s="15" t="n"/>
      <c r="E31" s="15" t="n"/>
      <c r="F31" s="16" t="n"/>
    </row>
    <row r="32" s="10">
      <c r="B32" s="8" t="inlineStr">
        <is>
          <t>Pedro Lucas Vaz de Andrade - Scrum Master (Release 2) - de acordo pendente, Planning da Sprint 2 em 03/11/2026</t>
        </is>
      </c>
      <c r="C32" s="15" t="n"/>
      <c r="D32" s="15" t="n"/>
      <c r="E32" s="15" t="n"/>
      <c r="F32" s="16" t="n"/>
    </row>
    <row r="33" s="10">
      <c r="B33" s="8" t="inlineStr">
        <is>
          <t>Wagner Tiburcio da Silva Junior - PO e DevOps (Release 2) - de acordo pendente, Planning da Sprint 2 em 03/11/2026</t>
        </is>
      </c>
      <c r="C33" s="15" t="n"/>
      <c r="D33" s="15" t="n"/>
      <c r="E33" s="15" t="n"/>
      <c r="F33" s="16" t="n"/>
    </row>
    <row r="34" s="10">
      <c r="B34" s="8" t="inlineStr">
        <is>
          <t>Rodrigo Almeida Gomes - QA (Release 2) - de acordo pendente, Planning da Sprint 2 em 03/11/2026</t>
        </is>
      </c>
      <c r="C34" s="15" t="n"/>
      <c r="D34" s="15" t="n"/>
      <c r="E34" s="15" t="n"/>
      <c r="F34" s="16" t="n"/>
    </row>
  </sheetData>
  <mergeCells count="22">
    <mergeCell ref="C8:F8"/>
    <mergeCell ref="B16:F16"/>
    <mergeCell ref="C7:F7"/>
    <mergeCell ref="B31:F31"/>
    <mergeCell ref="B12:F12"/>
    <mergeCell ref="C3:F3"/>
    <mergeCell ref="B11:F11"/>
    <mergeCell ref="C6:F6"/>
    <mergeCell ref="B1:F1"/>
    <mergeCell ref="B14:F14"/>
    <mergeCell ref="C5:F5"/>
    <mergeCell ref="B17:F17"/>
    <mergeCell ref="B13:F13"/>
    <mergeCell ref="B29:F29"/>
    <mergeCell ref="B34:F34"/>
    <mergeCell ref="C4:F4"/>
    <mergeCell ref="B19:F19"/>
    <mergeCell ref="B30:F30"/>
    <mergeCell ref="C9:F9"/>
    <mergeCell ref="B15:F15"/>
    <mergeCell ref="B33:F33"/>
    <mergeCell ref="B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xSplit="3" ySplit="3" topLeftCell="D4" activePane="bottomRight" state="frozen"/>
      <selection activeCell="A1" sqref="A1"/>
    </sheetView>
  </sheetViews>
  <sheetFormatPr baseColWidth="8" defaultRowHeight="14.39999961853027"/>
  <cols>
    <col width="5" customWidth="1" style="10" min="1" max="1"/>
    <col width="58" customWidth="1" style="10" min="2" max="2"/>
    <col width="16" customWidth="1" style="10" min="3" max="3"/>
    <col width="11" customWidth="1" style="10" min="4" max="11"/>
    <col width="34" customWidth="1" style="10" min="12" max="13"/>
  </cols>
  <sheetData>
    <row r="1" ht="25.95000076293945" customHeight="1" s="10">
      <c r="A1" s="13" t="inlineStr">
        <is>
          <t>DEFINITION OF DONE – NÍVEL SPRINT (verificada na Sprint Review)</t>
        </is>
      </c>
    </row>
    <row r="3" ht="31.95000076293945" customHeight="1" s="10">
      <c r="A3" s="2" t="inlineStr">
        <is>
          <t>Nº</t>
        </is>
      </c>
      <c r="B3" s="2" t="inlineStr">
        <is>
          <t>Critério</t>
        </is>
      </c>
      <c r="C3" s="2" t="inlineStr">
        <is>
          <t>Quem verifica</t>
        </is>
      </c>
      <c r="D3" s="2" t="inlineStr">
        <is>
          <t>Sprint 0</t>
        </is>
      </c>
      <c r="E3" s="2" t="inlineStr">
        <is>
          <t>Sprint 1</t>
        </is>
      </c>
      <c r="F3" s="2" t="inlineStr">
        <is>
          <t>Sprint 2</t>
        </is>
      </c>
      <c r="G3" s="2" t="inlineStr">
        <is>
          <t>Sprint 3</t>
        </is>
      </c>
      <c r="H3" s="2" t="inlineStr">
        <is>
          <t>Sprint 4</t>
        </is>
      </c>
      <c r="I3" s="2" t="inlineStr">
        <is>
          <t>Sprint 5</t>
        </is>
      </c>
      <c r="J3" s="2" t="inlineStr">
        <is>
          <t>Sprint 6</t>
        </is>
      </c>
      <c r="K3" s="2" t="inlineStr">
        <is>
          <t>Sprint 7</t>
        </is>
      </c>
      <c r="L3" s="2" t="inlineStr">
        <is>
          <t>Evidência (link ou arquivo)</t>
        </is>
      </c>
      <c r="M3" s="2" t="inlineStr">
        <is>
          <t>Observações</t>
        </is>
      </c>
    </row>
    <row r="4">
      <c r="A4" s="14" t="inlineStr">
        <is>
          <t>A. META E ENTREGAS DA SPRINT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6" t="n"/>
    </row>
    <row r="5" ht="22.04999923706055" customHeight="1" s="10">
      <c r="A5" s="5" t="n">
        <v>1</v>
      </c>
      <c r="B5" s="3" t="inlineStr">
        <is>
          <t>Sprint Goal atingido (ou desvio justificado nas observações)</t>
        </is>
      </c>
      <c r="C5" s="5" t="inlineStr">
        <is>
          <t>PO</t>
        </is>
      </c>
      <c r="D5" s="5" t="inlineStr">
        <is>
          <t>Sim</t>
        </is>
      </c>
      <c r="E5" s="5" t="inlineStr">
        <is>
          <t>Sim</t>
        </is>
      </c>
      <c r="F5" s="5" t="n"/>
      <c r="G5" s="5" t="n"/>
      <c r="H5" s="5" t="n"/>
      <c r="I5" s="5" t="n"/>
      <c r="J5" s="5" t="n"/>
      <c r="K5" s="5" t="n"/>
      <c r="L5" s="3" t="inlineStr">
        <is>
          <t>https://pedrolucas0721.atlassian.net/jira/software/projects/GK/boards/34</t>
        </is>
      </c>
      <c r="M5" s="3" t="inlineStr">
        <is>
          <t>Em 28/10/2026: catálogo (GK-9), detalhe (GK-10), cadastro (GK-7) e login (GK-8) concluídos no Jira e integrados à main com CI verde. QA (Wagner) e aceite do PO (Pedro) comunicados ao SM e registrados por Rodrigo no Jira em 28/10/2026 (GK-7, GK-8 e GK-61). Demonstração na Review de 29/10.</t>
        </is>
      </c>
    </row>
    <row r="6" ht="31.95000076293945" customHeight="1" s="10">
      <c r="A6" s="5" t="n">
        <v>2</v>
      </c>
      <c r="B6" s="3" t="inlineStr">
        <is>
          <t>Todas as US marcadas como concluídas atendem à DoD de US acordada pela equipe</t>
        </is>
      </c>
      <c r="C6" s="5" t="inlineStr">
        <is>
          <t>QA</t>
        </is>
      </c>
      <c r="D6" s="5" t="inlineStr">
        <is>
          <t>Sim</t>
        </is>
      </c>
      <c r="E6" s="5" t="inlineStr">
        <is>
          <t>Não</t>
        </is>
      </c>
      <c r="F6" s="5" t="n"/>
      <c r="G6" s="5" t="n"/>
      <c r="H6" s="5" t="n"/>
      <c r="I6" s="5" t="n"/>
      <c r="J6" s="5" t="n"/>
      <c r="K6" s="5" t="n"/>
      <c r="L6" s="3" t="inlineStr">
        <is>
          <t>https://github.com/PedroLuvaz/gamekeys-uepb-2026-2/pulls?q=is%3Apr+is%3Amerged</t>
        </is>
      </c>
      <c r="M6" s="3" t="inlineStr">
        <is>
          <t>8 de 9 US concluídas no Jira (27 de 28 pontos), com testes, CI e aceite, mas sem review antes do merge: 0 de 13 PRs mesclados têm review no GitHub (10 de 13 mesclados por outro integrante). Exceção registrada nas issues (GK-7, GK-8, GK-106), sem review retroativa. Plano: 1 aprovação antes de cada merge a partir da Sprint 2 (Q-11).</t>
        </is>
      </c>
    </row>
    <row r="7" ht="31.95000076293945" customHeight="1" s="10">
      <c r="A7" s="5" t="n">
        <v>3</v>
      </c>
      <c r="B7" s="3" t="inlineStr">
        <is>
          <t>Itens não concluídos voltaram ao backlog, com a pendência registrada na issue</t>
        </is>
      </c>
      <c r="C7" s="5" t="inlineStr">
        <is>
          <t>PO</t>
        </is>
      </c>
      <c r="D7" s="5" t="inlineStr">
        <is>
          <t>Não</t>
        </is>
      </c>
      <c r="E7" s="5" t="n"/>
      <c r="F7" s="5" t="n"/>
      <c r="G7" s="5" t="n"/>
      <c r="H7" s="5" t="n"/>
      <c r="I7" s="5" t="n"/>
      <c r="J7" s="5" t="n"/>
      <c r="K7" s="5" t="n"/>
      <c r="L7" s="3" t="n"/>
      <c r="M7" s="3" t="inlineStr">
        <is>
          <t>GK-61 (1 ponto) segue Em revisão até a Review e a Retrospectiva de 29/10; conferir no fechamento da sprint. GK-68 e GK-105 estão no backlog, fora da sprint.</t>
        </is>
      </c>
    </row>
    <row r="8" ht="22.04999923706055" customHeight="1" s="10">
      <c r="A8" s="5" t="n">
        <v>4</v>
      </c>
      <c r="B8" s="3" t="inlineStr">
        <is>
          <t>Incremento demonstrado ao PO na Sprint Review</t>
        </is>
      </c>
      <c r="C8" s="5" t="inlineStr">
        <is>
          <t>SM</t>
        </is>
      </c>
      <c r="D8" s="5" t="inlineStr">
        <is>
          <t>Sim</t>
        </is>
      </c>
      <c r="E8" s="5" t="n"/>
      <c r="F8" s="5" t="n"/>
      <c r="G8" s="5" t="n"/>
      <c r="H8" s="5" t="n"/>
      <c r="I8" s="5" t="n"/>
      <c r="J8" s="5" t="n"/>
      <c r="K8" s="5" t="n"/>
      <c r="L8" s="3" t="n"/>
      <c r="M8" s="3" t="inlineStr">
        <is>
          <t>Review marcada para 29/10/2026; demonstração de cadastro, login, catálogo e detalhe. Marcar depois da reunião.</t>
        </is>
      </c>
    </row>
    <row r="9" ht="22.04999923706055" customHeight="1" s="10">
      <c r="A9" s="5" t="n">
        <v>5</v>
      </c>
      <c r="B9" s="3" t="inlineStr">
        <is>
          <t>Aceite ou rejeição de cada US registrado nas issues</t>
        </is>
      </c>
      <c r="C9" s="5" t="inlineStr">
        <is>
          <t>PO</t>
        </is>
      </c>
      <c r="D9" s="5" t="inlineStr">
        <is>
          <t>Sim</t>
        </is>
      </c>
      <c r="E9" s="5" t="inlineStr">
        <is>
          <t>Sim</t>
        </is>
      </c>
      <c r="F9" s="5" t="n"/>
      <c r="G9" s="5" t="n"/>
      <c r="H9" s="5" t="n"/>
      <c r="I9" s="5" t="n"/>
      <c r="J9" s="5" t="n"/>
      <c r="K9" s="5" t="n"/>
      <c r="L9" s="3" t="inlineStr">
        <is>
          <t>https://pedrolucas0721.atlassian.net/browse/GK-9</t>
        </is>
      </c>
      <c r="M9" s="3" t="inlineStr">
        <is>
          <t>Aceite do PO registrado em cada card em 28/10/2026: GK-7, GK-8, GK-9, GK-10, GK-57, GK-58, GK-63 (e GK-105, GK-106). GK-61 é aceita na Review.</t>
        </is>
      </c>
    </row>
    <row r="10">
      <c r="A10" s="14" t="inlineStr">
        <is>
          <t>B. QUALIDADE E INTEGRAÇÃO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6" t="n"/>
    </row>
    <row r="11" ht="22.04999923706055" customHeight="1" s="10">
      <c r="A11" s="5" t="n">
        <v>6</v>
      </c>
      <c r="B11" s="3" t="inlineStr">
        <is>
          <t>Pipeline de CI verde na branch principal ao fim da sprint</t>
        </is>
      </c>
      <c r="C11" s="5" t="inlineStr">
        <is>
          <t>DevOps</t>
        </is>
      </c>
      <c r="D11" s="5" t="inlineStr">
        <is>
          <t>Sim</t>
        </is>
      </c>
      <c r="E11" s="5" t="inlineStr">
        <is>
          <t>Sim</t>
        </is>
      </c>
      <c r="F11" s="5" t="n"/>
      <c r="G11" s="5" t="n"/>
      <c r="H11" s="5" t="n"/>
      <c r="I11" s="5" t="n"/>
      <c r="J11" s="5" t="n"/>
      <c r="K11" s="5" t="n"/>
      <c r="L11" s="3" t="inlineStr">
        <is>
          <t>https://github.com/PedroLuvaz/gamekeys-uepb-2026-2/actions/runs/40687889647</t>
        </is>
      </c>
      <c r="M11" s="3" t="inlineStr">
        <is>
          <t>32 de 32 execuções do CI verdes na main até 28/10/2026. Último commit verificado: ca0235f (merge do PR #14), run 40687889647.</t>
        </is>
      </c>
    </row>
    <row r="12" ht="31.95000076293945" customHeight="1" s="10">
      <c r="A12" s="5" t="n">
        <v>7</v>
      </c>
      <c r="B12" s="3" t="inlineStr">
        <is>
          <t>Bugs encontrados na sprint registrados com evidências e severidade</t>
        </is>
      </c>
      <c r="C12" s="5" t="inlineStr">
        <is>
          <t>QA</t>
        </is>
      </c>
      <c r="D12" s="5" t="inlineStr">
        <is>
          <t>N/A</t>
        </is>
      </c>
      <c r="E12" s="5" t="inlineStr">
        <is>
          <t>Sim</t>
        </is>
      </c>
      <c r="F12" s="5" t="n"/>
      <c r="G12" s="5" t="n"/>
      <c r="H12" s="5" t="n"/>
      <c r="I12" s="5" t="n"/>
      <c r="J12" s="5" t="n"/>
      <c r="K12" s="5" t="n"/>
      <c r="L12" s="3" t="inlineStr">
        <is>
          <t>https://pedrolucas0721.atlassian.net/browse/GK-106</t>
        </is>
      </c>
      <c r="M12" s="3" t="inlineStr">
        <is>
          <t>1 bug de severidade Alta registrado em 27/10/2026 (GK-106), com causa, evidências, critérios e responsável. Concluído em 28/10/2026 com a confirmação do QA registrada pelo SM.</t>
        </is>
      </c>
    </row>
    <row r="13" ht="22.04999923706055" customHeight="1" s="10">
      <c r="A13" s="5" t="n">
        <v>8</v>
      </c>
      <c r="B13" s="3" t="inlineStr">
        <is>
          <t>Nenhum bug crítico ou alto em aberto sem plano de tratamento</t>
        </is>
      </c>
      <c r="C13" s="5" t="inlineStr">
        <is>
          <t>QA</t>
        </is>
      </c>
      <c r="D13" s="5" t="inlineStr">
        <is>
          <t>N/A</t>
        </is>
      </c>
      <c r="E13" s="5" t="inlineStr">
        <is>
          <t>Sim</t>
        </is>
      </c>
      <c r="F13" s="5" t="n"/>
      <c r="G13" s="5" t="n"/>
      <c r="H13" s="5" t="n"/>
      <c r="I13" s="5" t="n"/>
      <c r="J13" s="5" t="n"/>
      <c r="K13" s="5" t="n"/>
      <c r="L13" s="3" t="inlineStr">
        <is>
          <t>https://github.com/PedroLuvaz/gamekeys-uepb-2026-2/pull/13</t>
        </is>
      </c>
      <c r="M13" s="3" t="inlineStr">
        <is>
          <t>GK-106 (Alta) corrigido na main pelo PR #13 (8f2827e) e Concluído no Jira em 28/10/2026; regressão da proteção 9/9. Nenhum bug crítico ou alto em aberto.</t>
        </is>
      </c>
    </row>
    <row r="14" ht="22.04999923706055" customHeight="1" s="10">
      <c r="A14" s="5" t="n">
        <v>9</v>
      </c>
      <c r="B14" s="3" t="inlineStr">
        <is>
          <t>Regressão dos itens afetados executada</t>
        </is>
      </c>
      <c r="C14" s="5" t="inlineStr">
        <is>
          <t>QA</t>
        </is>
      </c>
      <c r="D14" s="5" t="inlineStr">
        <is>
          <t>N/A</t>
        </is>
      </c>
      <c r="E14" s="5" t="inlineStr">
        <is>
          <t>Sim</t>
        </is>
      </c>
      <c r="F14" s="5" t="n"/>
      <c r="G14" s="5" t="n"/>
      <c r="H14" s="5" t="n"/>
      <c r="I14" s="5" t="n"/>
      <c r="J14" s="5" t="n"/>
      <c r="K14" s="5" t="n"/>
      <c r="L14" s="3" t="inlineStr">
        <is>
          <t>https://github.com/PedroLuvaz/gamekeys-uepb-2026-2/actions/runs/40687889647</t>
        </is>
      </c>
      <c r="M14" s="3" t="inlineStr">
        <is>
          <t>CI completo verde na main em 28/10/2026 (ca0235f, run 40687889647): ruff, smoke, pytest, Cypress E2E e integração tela, API e PostgreSQL. Regressão: 87/87 backend, 27/27 E2E e 9/9 integração. QA (Wagner) e aceite do PO (Pedro) comunicados ao SM e registrados por Rodrigo no Jira em 28/10/2026.</t>
        </is>
      </c>
    </row>
    <row r="15">
      <c r="A15" s="14" t="inlineStr">
        <is>
          <t>C. GESTÃO E CERIMÔNIAS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6" t="n"/>
    </row>
    <row r="16" ht="31.95000076293945" customHeight="1" s="10">
      <c r="A16" s="5" t="n">
        <v>10</v>
      </c>
      <c r="B16" s="3" t="inlineStr">
        <is>
          <t>Board do Jira atualizado (status, responsável, story points, sprint)</t>
        </is>
      </c>
      <c r="C16" s="5" t="inlineStr">
        <is>
          <t>SM</t>
        </is>
      </c>
      <c r="D16" s="5" t="inlineStr">
        <is>
          <t>Sim</t>
        </is>
      </c>
      <c r="E16" s="5" t="inlineStr">
        <is>
          <t>Sim</t>
        </is>
      </c>
      <c r="F16" s="5" t="n"/>
      <c r="G16" s="5" t="n"/>
      <c r="H16" s="5" t="n"/>
      <c r="I16" s="5" t="n"/>
      <c r="J16" s="5" t="n"/>
      <c r="K16" s="5" t="n"/>
      <c r="L16" s="3" t="inlineStr">
        <is>
          <t>https://pedrolucas0721.atlassian.net/jira/software/projects/GK/boards/34</t>
        </is>
      </c>
      <c r="M16" s="3" t="inlineStr">
        <is>
          <t>Sprint 1 conferida em 28/10/2026: 8 de 9 US concluídas (27 de 28 pontos); GK-61 Em revisão; bug GK-106 Concluído. Responsáveis, pontos e sprint preenchidos; GK-68 e GK-105 no backlog.</t>
        </is>
      </c>
    </row>
    <row r="17" ht="22.04999923706055" customHeight="1" s="10">
      <c r="A17" s="5" t="n">
        <v>11</v>
      </c>
      <c r="B17" s="3" t="inlineStr">
        <is>
          <t>Sprint Planning realizada, com plano da sprint e Sprint Goal</t>
        </is>
      </c>
      <c r="C17" s="5" t="inlineStr">
        <is>
          <t>SM</t>
        </is>
      </c>
      <c r="D17" s="5" t="inlineStr">
        <is>
          <t>Sim</t>
        </is>
      </c>
      <c r="E17" s="5" t="inlineStr">
        <is>
          <t>Sim</t>
        </is>
      </c>
      <c r="F17" s="5" t="n"/>
      <c r="G17" s="5" t="n"/>
      <c r="H17" s="5" t="n"/>
      <c r="I17" s="5" t="n"/>
      <c r="J17" s="5" t="n"/>
      <c r="K17" s="5" t="n"/>
      <c r="L17" s="3" t="inlineStr">
        <is>
          <t>docs/Plano-Sprint-1.docx; Sprint 1 no Jira (GK-39)</t>
        </is>
      </c>
      <c r="M17" s="3" t="inlineStr">
        <is>
          <t>Planning em 20/10/2026, Sprint Goal registrado na Sprint 1 do Jira.</t>
        </is>
      </c>
    </row>
    <row r="18" ht="22.04999923706055" customHeight="1" s="10">
      <c r="A18" s="5" t="n">
        <v>12</v>
      </c>
      <c r="B18" s="3" t="inlineStr">
        <is>
          <t>Ata da Review em docs/sprints/</t>
        </is>
      </c>
      <c r="C18" s="5" t="inlineStr">
        <is>
          <t>SM</t>
        </is>
      </c>
      <c r="D18" s="5" t="inlineStr">
        <is>
          <t>Sim</t>
        </is>
      </c>
      <c r="E18" s="5" t="n"/>
      <c r="F18" s="5" t="n"/>
      <c r="G18" s="5" t="n"/>
      <c r="H18" s="5" t="n"/>
      <c r="I18" s="5" t="n"/>
      <c r="J18" s="5" t="n"/>
      <c r="K18" s="5" t="n"/>
      <c r="L18" s="3" t="n"/>
      <c r="M18" s="3" t="inlineStr">
        <is>
          <t>Ata em docs/sprints/Ata-Review-Sprint-1.docx; Review marcada para 29/10/2026.</t>
        </is>
      </c>
    </row>
    <row r="19" ht="31.95000076293945" customHeight="1" s="10">
      <c r="A19" s="5" t="n">
        <v>13</v>
      </c>
      <c r="B19" s="3" t="inlineStr">
        <is>
          <t>Ata da Retrospectiva em docs/sprints/, com ações, responsáveis e prazos</t>
        </is>
      </c>
      <c r="C19" s="5" t="inlineStr">
        <is>
          <t>SM</t>
        </is>
      </c>
      <c r="D19" s="5" t="inlineStr">
        <is>
          <t>Sim</t>
        </is>
      </c>
      <c r="E19" s="5" t="n"/>
      <c r="F19" s="5" t="n"/>
      <c r="G19" s="5" t="n"/>
      <c r="H19" s="5" t="n"/>
      <c r="I19" s="5" t="n"/>
      <c r="J19" s="5" t="n"/>
      <c r="K19" s="5" t="n"/>
      <c r="L19" s="3" t="n"/>
      <c r="M19" s="3" t="inlineStr">
        <is>
          <t>Ata em docs/sprints/Ata-Retrospectiva-Sprint-1.docx; Retrospectiva marcada para 29/10/2026.</t>
        </is>
      </c>
    </row>
    <row r="20" ht="22.04999923706055" customHeight="1" s="10">
      <c r="A20" s="5" t="n">
        <v>14</v>
      </c>
      <c r="B20" s="3" t="inlineStr">
        <is>
          <t>Ações da retrospectiva anterior acompanhadas</t>
        </is>
      </c>
      <c r="C20" s="5" t="inlineStr">
        <is>
          <t>SM</t>
        </is>
      </c>
      <c r="D20" s="5" t="inlineStr">
        <is>
          <t>Sim</t>
        </is>
      </c>
      <c r="E20" s="5" t="inlineStr">
        <is>
          <t>N/A</t>
        </is>
      </c>
      <c r="F20" s="5" t="n"/>
      <c r="G20" s="5" t="n"/>
      <c r="H20" s="5" t="n"/>
      <c r="I20" s="5" t="n"/>
      <c r="J20" s="5" t="n"/>
      <c r="K20" s="5" t="n"/>
      <c r="L20" s="3" t="n"/>
      <c r="M20" s="3" t="inlineStr">
        <is>
          <t>Primeira retrospectiva com ações registradas: não havia ações anteriores para acompanhar (Ata da Retrospectiva da Sprint 1, seção 4).</t>
        </is>
      </c>
    </row>
    <row r="21" ht="22.04999923706055" customHeight="1" s="10">
      <c r="A21" s="5" t="n">
        <v>15</v>
      </c>
      <c r="B21" s="3" t="inlineStr">
        <is>
          <t>Impedimentos registrados com status e resolução</t>
        </is>
      </c>
      <c r="C21" s="5" t="inlineStr">
        <is>
          <t>SM</t>
        </is>
      </c>
      <c r="D21" s="5" t="inlineStr">
        <is>
          <t>N/A</t>
        </is>
      </c>
      <c r="E21" s="5" t="inlineStr">
        <is>
          <t>Sim</t>
        </is>
      </c>
      <c r="F21" s="5" t="n"/>
      <c r="G21" s="5" t="n"/>
      <c r="H21" s="5" t="n"/>
      <c r="I21" s="5" t="n"/>
      <c r="J21" s="5" t="n"/>
      <c r="K21" s="5" t="n"/>
      <c r="L21" s="3" t="inlineStr">
        <is>
          <t>https://pedrolucas0721.atlassian.net/browse/GK-96</t>
        </is>
      </c>
      <c r="M21" s="3" t="inlineStr">
        <is>
          <t>Impedimento de segurança dos testes registrado na GK-106, relacionado a GK-91/GK-57 e tratado no PR #13. Pendências humanas seguem registradas sem antecipar aceite.</t>
        </is>
      </c>
    </row>
    <row r="22">
      <c r="A22" s="14" t="inlineStr">
        <is>
          <t>D. MÉTRICAS E PLANEJAMENTO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6" t="n"/>
    </row>
    <row r="23" ht="22.04999923706055" customHeight="1" s="10">
      <c r="A23" s="5" t="n">
        <v>16</v>
      </c>
      <c r="B23" s="3" t="inlineStr">
        <is>
          <t>Métricas da sprint registradas (burndown e velocity)</t>
        </is>
      </c>
      <c r="C23" s="5" t="inlineStr">
        <is>
          <t>SM</t>
        </is>
      </c>
      <c r="D23" s="5" t="inlineStr">
        <is>
          <t>N/A</t>
        </is>
      </c>
      <c r="E23" s="5" t="inlineStr">
        <is>
          <t>Sim</t>
        </is>
      </c>
      <c r="F23" s="5" t="n"/>
      <c r="G23" s="5" t="n"/>
      <c r="H23" s="5" t="n"/>
      <c r="I23" s="5" t="n"/>
      <c r="J23" s="5" t="n"/>
      <c r="K23" s="5" t="n"/>
      <c r="L23" s="3" t="inlineStr">
        <is>
          <t>docs/releases/Relatorio-de-Metricas-R1.docx; docs/sprints/Acompanhamento-e-Resultados-Sprint-1.docx</t>
        </is>
      </c>
      <c r="M23" s="3" t="inlineStr">
        <is>
          <t>Velocity e burndown da Sprint 1 no Relatório de Métricas R1: 27 de 28 pontos em 28/10/2026; atualizar a GK-61 (1 ponto) no fechamento de 29/10.</t>
        </is>
      </c>
    </row>
    <row r="24" ht="22.04999923706055" customHeight="1" s="10">
      <c r="A24" s="5" t="n">
        <v>17</v>
      </c>
      <c r="B24" s="3" t="inlineStr">
        <is>
          <t>Backlog repriorizado pelo PO</t>
        </is>
      </c>
      <c r="C24" s="5" t="inlineStr">
        <is>
          <t>PO</t>
        </is>
      </c>
      <c r="D24" s="5" t="inlineStr">
        <is>
          <t>Sim</t>
        </is>
      </c>
      <c r="E24" s="5" t="inlineStr">
        <is>
          <t>Sim</t>
        </is>
      </c>
      <c r="F24" s="5" t="n"/>
      <c r="G24" s="5" t="n"/>
      <c r="H24" s="5" t="n"/>
      <c r="I24" s="5" t="n"/>
      <c r="J24" s="5" t="n"/>
      <c r="K24" s="5" t="n"/>
      <c r="L24" s="3" t="inlineStr">
        <is>
          <t>https://pedrolucas0721.atlassian.net/browse/GK-3</t>
        </is>
      </c>
      <c r="M24" s="3" t="inlineStr">
        <is>
          <t>Backlog da Release 2 repriorizado pelo PO em 28/10/2026 pela ordem de dependência (GK-11, GK-12, GK-15, GK-14, GK-16, GK-13, GK-48, GK-68), com proposta para a Sprint 2.</t>
        </is>
      </c>
    </row>
    <row r="25" ht="22.04999923706055" customHeight="1" s="10">
      <c r="A25" s="5" t="n">
        <v>18</v>
      </c>
      <c r="B25" s="3" t="inlineStr">
        <is>
          <t>Planilha de riscos atualizada</t>
        </is>
      </c>
      <c r="C25" s="5" t="inlineStr">
        <is>
          <t>SM</t>
        </is>
      </c>
      <c r="D25" s="5" t="inlineStr">
        <is>
          <t>Sim</t>
        </is>
      </c>
      <c r="E25" s="5" t="inlineStr">
        <is>
          <t>Sim</t>
        </is>
      </c>
      <c r="F25" s="5" t="n"/>
      <c r="G25" s="5" t="n"/>
      <c r="H25" s="5" t="n"/>
      <c r="I25" s="5" t="n"/>
      <c r="J25" s="5" t="n"/>
      <c r="K25" s="5" t="n"/>
      <c r="L25" s="3" t="inlineStr">
        <is>
          <t>docs/Analise-de-Riscos-Baseada-em-Defeitos.xlsx (situação dos riscos em 28/10/2026)</t>
        </is>
      </c>
      <c r="M25" s="3" t="n"/>
    </row>
    <row r="26" ht="31.95000076293945" customHeight="1" s="10">
      <c r="A26" s="5" t="n">
        <v>19</v>
      </c>
      <c r="B26" s="3" t="inlineStr">
        <is>
          <t>Itens da próxima sprint com critérios de aceite escritos e estimados (DoR)</t>
        </is>
      </c>
      <c r="C26" s="5" t="inlineStr">
        <is>
          <t>PO</t>
        </is>
      </c>
      <c r="D26" s="5" t="inlineStr">
        <is>
          <t>Sim</t>
        </is>
      </c>
      <c r="E26" s="5" t="inlineStr">
        <is>
          <t>Sim</t>
        </is>
      </c>
      <c r="F26" s="5" t="n"/>
      <c r="G26" s="5" t="n"/>
      <c r="H26" s="5" t="n"/>
      <c r="I26" s="5" t="n"/>
      <c r="J26" s="5" t="n"/>
      <c r="K26" s="5" t="n"/>
      <c r="L26" s="3" t="inlineStr">
        <is>
          <t>https://pedrolucas0721.atlassian.net/browse/GK-3</t>
        </is>
      </c>
      <c r="M26" s="3" t="inlineStr">
        <is>
          <t>GK-11 a GK-16 com Gherkin, story points, prioridade, dependências e DoR completa em 28/10/2026. RNFs GK-46, GK-47 e GK-48 estimados no Planning Poker da Sprint 2.</t>
        </is>
      </c>
    </row>
    <row r="27">
      <c r="A27" s="14" t="inlineStr">
        <is>
          <t>Critérios da equipe (acrescentar conforme o acordo: ex. acessibilidade, desempenho, segurança)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6" t="n"/>
    </row>
    <row r="28" ht="32" customHeight="1" s="10">
      <c r="A28" s="5" t="n">
        <v>20</v>
      </c>
      <c r="B28" s="6" t="inlineStr">
        <is>
          <t>Testes de segurança passando no CI: senha só com hash e rotas protegidas recusando quem não tem permissão</t>
        </is>
      </c>
      <c r="C28" s="5" t="inlineStr">
        <is>
          <t>QA</t>
        </is>
      </c>
      <c r="D28" s="5" t="inlineStr">
        <is>
          <t>N/A</t>
        </is>
      </c>
      <c r="E28" s="5" t="inlineStr">
        <is>
          <t>Sim</t>
        </is>
      </c>
      <c r="F28" s="5" t="n"/>
      <c r="G28" s="5" t="n"/>
      <c r="H28" s="5" t="n"/>
      <c r="I28" s="5" t="n"/>
      <c r="J28" s="5" t="n"/>
      <c r="K28" s="5" t="n"/>
      <c r="L28" s="3" t="inlineStr">
        <is>
          <t>backend/tests/test_driver_senha_hash.py; backend/tests/test_clientes*.py; backend/tests/test_autenticacao.py; CI da main</t>
        </is>
      </c>
      <c r="M28" s="3" t="inlineStr">
        <is>
          <t>Senha só com hash (GK-69, GK-7) e rota protegida recusando token ausente, inválido ou expirado (GK-8, GK-71), com testes verdes no CI da main em 28/10/2026. Perfil errado depende das rotas de administrador (Release 3). QA (Wagner) e aceite do PO (Pedro) comunicados ao SM e registrados por Rodrigo no Jira em 28/10/2026.</t>
        </is>
      </c>
    </row>
    <row r="29" ht="32" customHeight="1" s="10">
      <c r="A29" s="5" t="n">
        <v>21</v>
      </c>
      <c r="B29" s="6" t="inlineStr">
        <is>
          <t>Nenhuma chave vendida em duplicidade no teste de concorrência (a partir da Sprint 2)</t>
        </is>
      </c>
      <c r="C29" s="5" t="inlineStr">
        <is>
          <t>QA</t>
        </is>
      </c>
      <c r="D29" s="5" t="inlineStr">
        <is>
          <t>N/A</t>
        </is>
      </c>
      <c r="E29" s="5" t="inlineStr">
        <is>
          <t>N/A</t>
        </is>
      </c>
      <c r="F29" s="5" t="n"/>
      <c r="G29" s="5" t="n"/>
      <c r="H29" s="5" t="n"/>
      <c r="I29" s="5" t="n"/>
      <c r="J29" s="5" t="n"/>
      <c r="K29" s="5" t="n"/>
      <c r="L29" s="3" t="n"/>
      <c r="M29" s="3" t="inlineStr">
        <is>
          <t>Critério vale a partir da Sprint 2 (compra e chaves).</t>
        </is>
      </c>
    </row>
    <row r="30" ht="32" customHeight="1" s="10">
      <c r="A30" s="5" t="n">
        <v>22</v>
      </c>
      <c r="B30" s="6" t="inlineStr">
        <is>
          <t>Telas entregues com mensagens de erro em português e estados de carregando, vazio e erro</t>
        </is>
      </c>
      <c r="C30" s="5" t="inlineStr">
        <is>
          <t>QA</t>
        </is>
      </c>
      <c r="D30" s="5" t="inlineStr">
        <is>
          <t>N/A</t>
        </is>
      </c>
      <c r="E30" s="5" t="inlineStr">
        <is>
          <t>Sim</t>
        </is>
      </c>
      <c r="F30" s="5" t="n"/>
      <c r="G30" s="5" t="n"/>
      <c r="H30" s="5" t="n"/>
      <c r="I30" s="5" t="n"/>
      <c r="J30" s="5" t="n"/>
      <c r="K30" s="5" t="n"/>
      <c r="L30" s="3" t="inlineStr">
        <is>
          <t>frontend/cypress/e2e/*.feature; frontend/cypress/integracao; CI da main</t>
        </is>
      </c>
      <c r="M30" s="3" t="inlineStr">
        <is>
          <t>Cadastro, login, catálogo e detalhe com mensagens em português e cenários de carregando, catálogo vazio e falha com recuperação, verdes no CI em 28/10/2026 (GK-76). QA (Wagner) e aceite do PO (Pedro) comunicados ao SM e registrados por Rodrigo no Jira em 28/10/2026.</t>
        </is>
      </c>
    </row>
    <row r="31" ht="32" customHeight="1" s="10">
      <c r="A31" s="5" t="n">
        <v>23</v>
      </c>
      <c r="B31" s="6" t="inlineStr">
        <is>
          <t>Dashboard GameKeys - Relatórios e datas limite do Jira conferidos</t>
        </is>
      </c>
      <c r="C31" s="5" t="inlineStr">
        <is>
          <t>SM</t>
        </is>
      </c>
      <c r="D31" s="5" t="inlineStr">
        <is>
          <t>N/A</t>
        </is>
      </c>
      <c r="E31" s="5" t="n"/>
      <c r="F31" s="5" t="n"/>
      <c r="G31" s="5" t="n"/>
      <c r="H31" s="5" t="n"/>
      <c r="I31" s="5" t="n"/>
      <c r="J31" s="5" t="n"/>
      <c r="K31" s="5" t="n"/>
      <c r="L31" s="3" t="n"/>
      <c r="M31" s="3" t="inlineStr">
        <is>
          <t>Conferir o dashboard GameKeys - Relatórios e as datas da Sprint 1 no Jira na Review de 29/10.</t>
        </is>
      </c>
    </row>
    <row r="33">
      <c r="B33" s="4" t="inlineStr">
        <is>
          <t>% de critérios cumpridos (Sim ÷ (Sim + Não), ignorando N/A)</t>
        </is>
      </c>
      <c r="D33" s="7">
        <f>IF(COUNTIF(D4:D31,"Sim")+COUNTIF(D4:D31,"Não")=0,"",COUNTIF(D4:D31,"Sim")/(COUNTIF(D4:D31,"Sim")+COUNTIF(D4:D31,"Não")))</f>
        <v/>
      </c>
      <c r="E33" s="7">
        <f>IF(COUNTIF(E4:E31,"Sim")+COUNTIF(E4:E31,"Não")=0,"",COUNTIF(E4:E31,"Sim")/(COUNTIF(E4:E31,"Sim")+COUNTIF(E4:E31,"Não")))</f>
        <v/>
      </c>
      <c r="F33" s="7">
        <f>IF(COUNTIF(F4:F31,"Sim")+COUNTIF(F4:F31,"Não")=0,"",COUNTIF(F4:F31,"Sim")/(COUNTIF(F4:F31,"Sim")+COUNTIF(F4:F31,"Não")))</f>
        <v/>
      </c>
      <c r="G33" s="7">
        <f>IF(COUNTIF(G4:G31,"Sim")+COUNTIF(G4:G31,"Não")=0,"",COUNTIF(G4:G31,"Sim")/(COUNTIF(G4:G31,"Sim")+COUNTIF(G4:G31,"Não")))</f>
        <v/>
      </c>
      <c r="H33" s="7">
        <f>IF(COUNTIF(H4:H31,"Sim")+COUNTIF(H4:H31,"Não")=0,"",COUNTIF(H4:H31,"Sim")/(COUNTIF(H4:H31,"Sim")+COUNTIF(H4:H31,"Não")))</f>
        <v/>
      </c>
      <c r="I33" s="7">
        <f>IF(COUNTIF(I4:I31,"Sim")+COUNTIF(I4:I31,"Não")=0,"",COUNTIF(I4:I31,"Sim")/(COUNTIF(I4:I31,"Sim")+COUNTIF(I4:I31,"Não")))</f>
        <v/>
      </c>
      <c r="J33" s="7">
        <f>IF(COUNTIF(J4:J31,"Sim")+COUNTIF(J4:J31,"Não")=0,"",COUNTIF(J4:J31,"Sim")/(COUNTIF(J4:J31,"Sim")+COUNTIF(J4:J31,"Não")))</f>
        <v/>
      </c>
      <c r="K33" s="7">
        <f>IF(COUNTIF(K4:K31,"Sim")+COUNTIF(K4:K31,"Não")=0,"",COUNTIF(K4:K31,"Sim")/(COUNTIF(K4:K31,"Sim")+COUNTIF(K4:K31,"Não")))</f>
        <v/>
      </c>
    </row>
    <row r="34">
      <c r="B34" s="4" t="inlineStr">
        <is>
          <t>Critérios ainda sem resposta</t>
        </is>
      </c>
      <c r="D34" s="5">
        <f>SUMPRODUCT(--($B$4:$B$31&lt;&gt;""),--(LEFT($B$4:$B$31,2)&lt;&gt;"&lt;&lt;"),--(D4:D31=""),--($C$4:$C$31&lt;&gt;""))</f>
        <v/>
      </c>
      <c r="E34" s="5">
        <f>SUMPRODUCT(--($B$4:$B$31&lt;&gt;""),--(LEFT($B$4:$B$31,2)&lt;&gt;"&lt;&lt;"),--(E4:E31=""),--($C$4:$C$31&lt;&gt;""))</f>
        <v/>
      </c>
      <c r="F34" s="5">
        <f>SUMPRODUCT(--($B$4:$B$31&lt;&gt;""),--(LEFT($B$4:$B$31,2)&lt;&gt;"&lt;&lt;"),--(F4:F31=""),--($C$4:$C$31&lt;&gt;""))</f>
        <v/>
      </c>
      <c r="G34" s="5">
        <f>SUMPRODUCT(--($B$4:$B$31&lt;&gt;""),--(LEFT($B$4:$B$31,2)&lt;&gt;"&lt;&lt;"),--(G4:G31=""),--($C$4:$C$31&lt;&gt;""))</f>
        <v/>
      </c>
      <c r="H34" s="5">
        <f>SUMPRODUCT(--($B$4:$B$31&lt;&gt;""),--(LEFT($B$4:$B$31,2)&lt;&gt;"&lt;&lt;"),--(H4:H31=""),--($C$4:$C$31&lt;&gt;""))</f>
        <v/>
      </c>
      <c r="I34" s="5">
        <f>SUMPRODUCT(--($B$4:$B$31&lt;&gt;""),--(LEFT($B$4:$B$31,2)&lt;&gt;"&lt;&lt;"),--(I4:I31=""),--($C$4:$C$31&lt;&gt;""))</f>
        <v/>
      </c>
      <c r="J34" s="5">
        <f>SUMPRODUCT(--($B$4:$B$31&lt;&gt;""),--(LEFT($B$4:$B$31,2)&lt;&gt;"&lt;&lt;"),--(J4:J31=""),--($C$4:$C$31&lt;&gt;""))</f>
        <v/>
      </c>
      <c r="K34" s="5">
        <f>SUMPRODUCT(--($B$4:$B$31&lt;&gt;""),--(LEFT($B$4:$B$31,2)&lt;&gt;"&lt;&lt;"),--(K4:K31=""),--($C$4:$C$31&lt;&gt;""))</f>
        <v/>
      </c>
    </row>
  </sheetData>
  <mergeCells count="6">
    <mergeCell ref="A1:M1"/>
    <mergeCell ref="A27:M27"/>
    <mergeCell ref="A22:M22"/>
    <mergeCell ref="A4:M4"/>
    <mergeCell ref="A15:M15"/>
    <mergeCell ref="A10:M10"/>
  </mergeCells>
  <conditionalFormatting sqref="D4:K31">
    <cfRule type="cellIs" priority="1" operator="equal" dxfId="2">
      <formula>"Sim"</formula>
    </cfRule>
    <cfRule type="cellIs" priority="2" operator="equal" dxfId="1">
      <formula>"Não"</formula>
    </cfRule>
    <cfRule type="cellIs" priority="3" operator="equal" dxfId="0">
      <formula>"N/A"</formula>
    </cfRule>
  </conditionalFormatting>
  <dataValidations count="1">
    <dataValidation sqref="D4:G36 D4:K31" showDropDown="0" showInputMessage="0" showErrorMessage="1" allowBlank="1" errorTitle="Valor inválido" error="Escolha Sim, Não ou N/A." type="list">
      <formula1>"Sim,Não,N/A"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xSplit="3" ySplit="3" topLeftCell="D4" activePane="bottomRight" state="frozen"/>
      <selection activeCell="A1" sqref="A1"/>
    </sheetView>
  </sheetViews>
  <sheetFormatPr baseColWidth="8" defaultRowHeight="14.39999961853027"/>
  <cols>
    <col width="5" customWidth="1" style="10" min="1" max="1"/>
    <col width="58" customWidth="1" style="10" min="2" max="2"/>
    <col width="16" customWidth="1" style="10" min="3" max="3"/>
    <col width="11" customWidth="1" style="10" min="4" max="7"/>
    <col width="34" customWidth="1" style="10" min="8" max="9"/>
  </cols>
  <sheetData>
    <row r="1" ht="25.95000076293945" customHeight="1" s="10">
      <c r="A1" s="13" t="inlineStr">
        <is>
          <t>DEFINITION OF DONE – NÍVEL RELEASE (Release = 2 sprints)</t>
        </is>
      </c>
    </row>
    <row r="3" ht="31.95000076293945" customHeight="1" s="10">
      <c r="A3" s="2" t="inlineStr">
        <is>
          <t>Nº</t>
        </is>
      </c>
      <c r="B3" s="2" t="inlineStr">
        <is>
          <t>Critério</t>
        </is>
      </c>
      <c r="C3" s="2" t="inlineStr">
        <is>
          <t>Quem verifica</t>
        </is>
      </c>
      <c r="D3" s="2" t="inlineStr">
        <is>
          <t>Release 1</t>
        </is>
      </c>
      <c r="E3" s="2" t="inlineStr">
        <is>
          <t>Release 2</t>
        </is>
      </c>
      <c r="F3" s="2" t="inlineStr">
        <is>
          <t>Release 3</t>
        </is>
      </c>
      <c r="G3" s="2" t="inlineStr">
        <is>
          <t>Release 4</t>
        </is>
      </c>
      <c r="H3" s="2" t="inlineStr">
        <is>
          <t>Evidência (link ou arquivo)</t>
        </is>
      </c>
      <c r="I3" s="2" t="inlineStr">
        <is>
          <t>Observações</t>
        </is>
      </c>
    </row>
    <row r="4">
      <c r="A4" s="14" t="inlineStr">
        <is>
          <t>A. ENTREGA DA VERSÃO</t>
        </is>
      </c>
      <c r="B4" s="15" t="n"/>
      <c r="C4" s="15" t="n"/>
      <c r="D4" s="15" t="n"/>
      <c r="E4" s="15" t="n"/>
      <c r="F4" s="15" t="n"/>
      <c r="G4" s="15" t="n"/>
      <c r="H4" s="15" t="n"/>
      <c r="I4" s="16" t="n"/>
    </row>
    <row r="5" ht="22.04999923706055" customHeight="1" s="10">
      <c r="A5" s="5" t="n">
        <v>1</v>
      </c>
      <c r="B5" s="3" t="inlineStr">
        <is>
          <t>Versão funcional demonstrada na Review de release</t>
        </is>
      </c>
      <c r="C5" s="5" t="inlineStr">
        <is>
          <t>PO</t>
        </is>
      </c>
      <c r="D5" s="5" t="n"/>
      <c r="E5" s="5" t="n"/>
      <c r="F5" s="5" t="n"/>
      <c r="G5" s="5" t="n"/>
      <c r="H5" s="3" t="n"/>
      <c r="I5" s="3" t="inlineStr">
        <is>
          <t>Demonstração na Review de 29/10/2026, no ambiente de desenvolvimento documentado. Marcar depois da reunião.</t>
        </is>
      </c>
    </row>
    <row r="6" ht="22.04999923706055" customHeight="1" s="10">
      <c r="A6" s="5" t="n">
        <v>2</v>
      </c>
      <c r="B6" s="3" t="inlineStr">
        <is>
          <t>Versão implantada em ambiente de homologação e demonstrada</t>
        </is>
      </c>
      <c r="C6" s="5" t="inlineStr">
        <is>
          <t>DevOps</t>
        </is>
      </c>
      <c r="D6" s="5" t="inlineStr">
        <is>
          <t>N/A</t>
        </is>
      </c>
      <c r="E6" s="5" t="n"/>
      <c r="F6" s="5" t="n"/>
      <c r="G6" s="5" t="n"/>
      <c r="H6" s="3" t="n"/>
      <c r="I6" s="3" t="n"/>
    </row>
    <row r="7" ht="22.04999923706055" customHeight="1" s="10">
      <c r="A7" s="5" t="n">
        <v>3</v>
      </c>
      <c r="B7" s="3" t="inlineStr">
        <is>
          <t>Tag e release criadas no repositório</t>
        </is>
      </c>
      <c r="C7" s="5" t="inlineStr">
        <is>
          <t>DevOps</t>
        </is>
      </c>
      <c r="D7" s="5" t="n"/>
      <c r="E7" s="5" t="n"/>
      <c r="F7" s="5" t="n"/>
      <c r="G7" s="5" t="n"/>
      <c r="H7" s="3" t="n"/>
      <c r="I7" s="3" t="inlineStr">
        <is>
          <t>Nenhuma tag ou release no repositório em 28/10/2026; criar a v0.1.0 no fechamento da Release 1 (29/10).</t>
        </is>
      </c>
    </row>
    <row r="8" ht="22.04999923706055" customHeight="1" s="10">
      <c r="A8" s="5" t="n">
        <v>4</v>
      </c>
      <c r="B8" s="3" t="inlineStr">
        <is>
          <t>Ciclo de regressão executado antes da apresentação</t>
        </is>
      </c>
      <c r="C8" s="5" t="inlineStr">
        <is>
          <t>QA</t>
        </is>
      </c>
      <c r="D8" s="5" t="inlineStr">
        <is>
          <t>Sim</t>
        </is>
      </c>
      <c r="E8" s="5" t="n"/>
      <c r="F8" s="5" t="n"/>
      <c r="G8" s="5" t="n"/>
      <c r="H8" s="3" t="inlineStr">
        <is>
          <t>https://github.com/PedroLuvaz/gamekeys-uepb-2026-2/actions/runs/40687889647</t>
        </is>
      </c>
      <c r="I8" s="3" t="inlineStr">
        <is>
          <t>CI completo verde na main em 28/10/2026 depois do último merge (PR #14, ca0235f): ruff, pytest, Cypress E2E e integração com PostgreSQL. QA (Wagner) e aceite do PO (Pedro) comunicados ao SM e registrados por Rodrigo no Jira em 28/10/2026.</t>
        </is>
      </c>
    </row>
    <row r="9" ht="22.04999923706055" customHeight="1" s="10">
      <c r="A9" s="5" t="n">
        <v>5</v>
      </c>
      <c r="B9" s="3" t="inlineStr">
        <is>
          <t>README atualizado (descrição, como executar e como testar)</t>
        </is>
      </c>
      <c r="C9" s="5" t="inlineStr">
        <is>
          <t>DevOps</t>
        </is>
      </c>
      <c r="D9" s="5" t="inlineStr">
        <is>
          <t>Sim</t>
        </is>
      </c>
      <c r="E9" s="5" t="n"/>
      <c r="F9" s="5" t="n"/>
      <c r="G9" s="5" t="n"/>
      <c r="H9" s="3" t="inlineStr">
        <is>
          <t>https://github.com/PedroLuvaz/gamekeys-uepb-2026-2#readme</t>
        </is>
      </c>
      <c r="I9" s="3" t="inlineStr">
        <is>
          <t>README com descrição, como executar e como testar, incluindo o PostgreSQL local isolado para os testes (PR #13, mesclado em 28/10/2026).</t>
        </is>
      </c>
    </row>
    <row r="10">
      <c r="A10" s="14" t="inlineStr">
        <is>
          <t>B. DOCUMENTAÇÃO EM docs/releases/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/>
    </row>
    <row r="11" ht="22.04999923706055" customHeight="1" s="10">
      <c r="A11" s="5" t="n">
        <v>6</v>
      </c>
      <c r="B11" s="3" t="inlineStr">
        <is>
          <t>Release notes</t>
        </is>
      </c>
      <c r="C11" s="5" t="inlineStr">
        <is>
          <t>PO</t>
        </is>
      </c>
      <c r="D11" s="5" t="inlineStr">
        <is>
          <t>Sim</t>
        </is>
      </c>
      <c r="E11" s="5" t="n"/>
      <c r="F11" s="5" t="n"/>
      <c r="G11" s="5" t="n"/>
      <c r="H11" s="3" t="inlineStr">
        <is>
          <t>docs/releases/Release-Notes-R1.docx</t>
        </is>
      </c>
      <c r="I11" s="3" t="inlineStr">
        <is>
          <t>Entregas, RNFs, itens fora, problemas conhecidos, números e próxima release preenchidos em 28/10/2026.</t>
        </is>
      </c>
    </row>
    <row r="12" ht="31.95000076293945" customHeight="1" s="10">
      <c r="A12" s="5" t="n">
        <v>7</v>
      </c>
      <c r="B12" s="3" t="inlineStr">
        <is>
          <t>Relatório de qualidade da release (bugs encontrados e corrigidos, métricas do plano de qualidade)</t>
        </is>
      </c>
      <c r="C12" s="5" t="inlineStr">
        <is>
          <t>QA</t>
        </is>
      </c>
      <c r="D12" s="5" t="inlineStr">
        <is>
          <t>Sim</t>
        </is>
      </c>
      <c r="E12" s="5" t="n"/>
      <c r="F12" s="5" t="n"/>
      <c r="G12" s="5" t="n"/>
      <c r="H12" s="3" t="inlineStr">
        <is>
          <t>docs/releases/Relatorio-de-Qualidade-R1.docx</t>
        </is>
      </c>
      <c r="I12" s="3" t="inlineStr">
        <is>
          <t>15 metas com Resultado R1 e Atendeu?, 30 de 30 casos executados, bugs, DoD dos itens, regressão e ações de melhoria (28/10/2026).</t>
        </is>
      </c>
    </row>
    <row r="13" ht="31.95000076293945" customHeight="1" s="10">
      <c r="A13" s="5" t="n">
        <v>8</v>
      </c>
      <c r="B13" s="3" t="inlineStr">
        <is>
          <t>Relatório de métricas (velocity, burndown, impedimentos recorrentes)</t>
        </is>
      </c>
      <c r="C13" s="5" t="inlineStr">
        <is>
          <t>SM</t>
        </is>
      </c>
      <c r="D13" s="5" t="inlineStr">
        <is>
          <t>Sim</t>
        </is>
      </c>
      <c r="E13" s="5" t="n"/>
      <c r="F13" s="5" t="n"/>
      <c r="G13" s="5" t="n"/>
      <c r="H13" s="3" t="inlineStr">
        <is>
          <t>docs/releases/Relatorio-de-Metricas-R1.docx</t>
        </is>
      </c>
      <c r="I13" s="3" t="inlineStr">
        <is>
          <t>Velocity, burndown da Sprint 1, impedimentos e indicadores de processo (28/10/2026).</t>
        </is>
      </c>
    </row>
    <row r="14" ht="22.04999923706055" customHeight="1" s="10">
      <c r="A14" s="5" t="n">
        <v>9</v>
      </c>
      <c r="B14" s="3" t="inlineStr">
        <is>
          <t>Relatório do pipeline</t>
        </is>
      </c>
      <c r="C14" s="5" t="inlineStr">
        <is>
          <t>DevOps</t>
        </is>
      </c>
      <c r="D14" s="5" t="inlineStr">
        <is>
          <t>Sim</t>
        </is>
      </c>
      <c r="E14" s="5" t="n"/>
      <c r="F14" s="5" t="n"/>
      <c r="G14" s="5" t="n"/>
      <c r="H14" s="3" t="inlineStr">
        <is>
          <t>docs/releases/Relatorio-do-Pipeline-R1.docx</t>
        </is>
      </c>
      <c r="I14" s="3" t="inlineStr">
        <is>
          <t>Etapas do CI, 32 de 32 execuções verdes na main, duração e mudanças da Release 1 (28/10/2026).</t>
        </is>
      </c>
    </row>
    <row r="15" ht="31.95000076293945" customHeight="1" s="10">
      <c r="A15" s="5" t="n">
        <v>10</v>
      </c>
      <c r="B15" s="3" t="inlineStr">
        <is>
          <t>Retrospectiva de release registrada, olhando o processo como um todo</t>
        </is>
      </c>
      <c r="C15" s="5" t="inlineStr">
        <is>
          <t>SM</t>
        </is>
      </c>
      <c r="D15" s="5" t="n"/>
      <c r="E15" s="5" t="n"/>
      <c r="F15" s="5" t="n"/>
      <c r="G15" s="5" t="n"/>
      <c r="H15" s="3" t="n"/>
      <c r="I15" s="3" t="inlineStr">
        <is>
          <t>Seção 8 da Ata da Retrospectiva, preenchida na reunião de 29/10/2026.</t>
        </is>
      </c>
    </row>
    <row r="16">
      <c r="A16" s="14" t="inlineStr">
        <is>
          <t>C. GESTÃO E ROTAÇÃO DE PAPÉIS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/>
    </row>
    <row r="17" ht="31.95000076293945" customHeight="1" s="10">
      <c r="A17" s="5" t="n">
        <v>11</v>
      </c>
      <c r="B17" s="3" t="inlineStr">
        <is>
          <t>Backlog repriorizado para a próxima release, com base no feedback</t>
        </is>
      </c>
      <c r="C17" s="5" t="inlineStr">
        <is>
          <t>PO</t>
        </is>
      </c>
      <c r="D17" s="5" t="inlineStr">
        <is>
          <t>Sim</t>
        </is>
      </c>
      <c r="E17" s="5" t="n"/>
      <c r="F17" s="5" t="n"/>
      <c r="G17" s="5" t="inlineStr">
        <is>
          <t>N/A</t>
        </is>
      </c>
      <c r="H17" s="3" t="inlineStr">
        <is>
          <t>https://pedrolucas0721.atlassian.net/browse/GK-3</t>
        </is>
      </c>
      <c r="I17" s="3" t="inlineStr">
        <is>
          <t>Release 2 repriorizada pelo PO em 28/10/2026 pela ordem de dependência; ajustar com o feedback da Review, se houver.</t>
        </is>
      </c>
    </row>
    <row r="18" ht="22.04999923706055" customHeight="1" s="10">
      <c r="A18" s="5" t="n">
        <v>12</v>
      </c>
      <c r="B18" s="3" t="inlineStr">
        <is>
          <t>Papéis da próxima release definidos e registrados no README</t>
        </is>
      </c>
      <c r="C18" s="5" t="inlineStr">
        <is>
          <t>SM</t>
        </is>
      </c>
      <c r="D18" s="5" t="inlineStr">
        <is>
          <t>Sim</t>
        </is>
      </c>
      <c r="E18" s="5" t="n"/>
      <c r="F18" s="5" t="n"/>
      <c r="G18" s="5" t="inlineStr">
        <is>
          <t>N/A</t>
        </is>
      </c>
      <c r="H18" s="3" t="inlineStr">
        <is>
          <t>https://github.com/PedroLuvaz/gamekeys-uepb-2026-2#equipe</t>
        </is>
      </c>
      <c r="I18" s="3" t="inlineStr">
        <is>
          <t>Release 2: Pedro SM, Wagner PO e DevOps, Rodrigo QA.</t>
        </is>
      </c>
    </row>
    <row r="19" ht="22.04999923706055" customHeight="1" s="10">
      <c r="A19" s="5" t="n">
        <v>13</v>
      </c>
      <c r="B19" s="3" t="inlineStr">
        <is>
          <t>Passagem de bastão planejada entre os papéis atual e novo</t>
        </is>
      </c>
      <c r="C19" s="5" t="inlineStr">
        <is>
          <t>SM</t>
        </is>
      </c>
      <c r="D19" s="5" t="inlineStr">
        <is>
          <t>Sim</t>
        </is>
      </c>
      <c r="E19" s="5" t="n"/>
      <c r="F19" s="5" t="n"/>
      <c r="G19" s="5" t="inlineStr">
        <is>
          <t>N/A</t>
        </is>
      </c>
      <c r="H19" s="3" t="inlineStr">
        <is>
          <t>README.md, seção Equipe</t>
        </is>
      </c>
      <c r="I19" s="3" t="inlineStr">
        <is>
          <t>Passagem de bastão por papel registrada no README (o que cada um recebe e o que fica em aberto).</t>
        </is>
      </c>
    </row>
    <row r="20" ht="22.04999923706055" customHeight="1" s="10">
      <c r="A20" s="5" t="n">
        <v>14</v>
      </c>
      <c r="B20" s="3" t="inlineStr">
        <is>
          <t>Avaliação entre pares preenchida por todos os integrantes</t>
        </is>
      </c>
      <c r="C20" s="5" t="inlineStr">
        <is>
          <t>SM</t>
        </is>
      </c>
      <c r="D20" s="5" t="n"/>
      <c r="E20" s="5" t="n"/>
      <c r="F20" s="5" t="n"/>
      <c r="G20" s="5" t="n"/>
      <c r="H20" s="3" t="n"/>
      <c r="I20" s="3" t="inlineStr">
        <is>
          <t>Cada integrante preenche a avaliação entre pares no fechamento da Release 1.</t>
        </is>
      </c>
    </row>
    <row r="21" ht="22.04999923706055" customHeight="1" s="10">
      <c r="A21" s="5" t="n">
        <v>15</v>
      </c>
      <c r="B21" s="3" t="inlineStr">
        <is>
          <t>Planilha de riscos atualizada</t>
        </is>
      </c>
      <c r="C21" s="5" t="inlineStr">
        <is>
          <t>SM</t>
        </is>
      </c>
      <c r="D21" s="5" t="inlineStr">
        <is>
          <t>Sim</t>
        </is>
      </c>
      <c r="E21" s="5" t="n"/>
      <c r="F21" s="5" t="n"/>
      <c r="G21" s="5" t="n"/>
      <c r="H21" s="3" t="inlineStr">
        <is>
          <t>docs/Analise-de-Riscos-Baseada-em-Defeitos.xlsx; versão oficial atualizada em 28/10/2026</t>
        </is>
      </c>
      <c r="I21" s="3" t="n"/>
    </row>
    <row r="22">
      <c r="A22" s="14" t="inlineStr">
        <is>
          <t>D. SOMENTE RELEASE 4 (ENTREGA FINAL E DEMO DAY)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/>
    </row>
    <row r="23" ht="31.95000076293945" customHeight="1" s="10">
      <c r="A23" s="5" t="n">
        <v>16</v>
      </c>
      <c r="B23" s="3" t="inlineStr">
        <is>
          <t>Demo funcional apresentada à banca ou convidados, com roteiro ensaiado</t>
        </is>
      </c>
      <c r="C23" s="5" t="inlineStr">
        <is>
          <t>PO</t>
        </is>
      </c>
      <c r="D23" s="5" t="inlineStr">
        <is>
          <t>N/A</t>
        </is>
      </c>
      <c r="E23" s="5" t="inlineStr">
        <is>
          <t>N/A</t>
        </is>
      </c>
      <c r="F23" s="5" t="inlineStr">
        <is>
          <t>N/A</t>
        </is>
      </c>
      <c r="G23" s="5" t="n"/>
      <c r="H23" s="3" t="n"/>
      <c r="I23" s="3" t="n"/>
    </row>
    <row r="24" ht="31.95000076293945" customHeight="1" s="10">
      <c r="A24" s="5" t="n">
        <v>17</v>
      </c>
      <c r="B24" s="3" t="inlineStr">
        <is>
          <t>Product Backlog completo, com status de cada US e vínculo às releases</t>
        </is>
      </c>
      <c r="C24" s="5" t="inlineStr">
        <is>
          <t>PO</t>
        </is>
      </c>
      <c r="D24" s="5" t="inlineStr">
        <is>
          <t>N/A</t>
        </is>
      </c>
      <c r="E24" s="5" t="inlineStr">
        <is>
          <t>N/A</t>
        </is>
      </c>
      <c r="F24" s="5" t="inlineStr">
        <is>
          <t>N/A</t>
        </is>
      </c>
      <c r="G24" s="5" t="n"/>
      <c r="H24" s="3" t="n"/>
      <c r="I24" s="3" t="n"/>
    </row>
    <row r="25" ht="31.95000076293945" customHeight="1" s="10">
      <c r="A25" s="5" t="n">
        <v>18</v>
      </c>
      <c r="B25" s="3" t="inlineStr">
        <is>
          <t>Atas de todas as plannings, reviews e retrospectivas em docs/sprints/</t>
        </is>
      </c>
      <c r="C25" s="5" t="inlineStr">
        <is>
          <t>SM</t>
        </is>
      </c>
      <c r="D25" s="5" t="inlineStr">
        <is>
          <t>N/A</t>
        </is>
      </c>
      <c r="E25" s="5" t="inlineStr">
        <is>
          <t>N/A</t>
        </is>
      </c>
      <c r="F25" s="5" t="inlineStr">
        <is>
          <t>N/A</t>
        </is>
      </c>
      <c r="G25" s="5" t="n"/>
      <c r="H25" s="3" t="n"/>
      <c r="I25" s="3" t="n"/>
    </row>
    <row r="26" ht="22.04999923706055" customHeight="1" s="10">
      <c r="A26" s="5" t="n">
        <v>19</v>
      </c>
      <c r="B26" s="3" t="inlineStr">
        <is>
          <t>Relatórios das 4 releases reunidos em docs/releases/</t>
        </is>
      </c>
      <c r="C26" s="5" t="inlineStr">
        <is>
          <t>SM</t>
        </is>
      </c>
      <c r="D26" s="5" t="inlineStr">
        <is>
          <t>N/A</t>
        </is>
      </c>
      <c r="E26" s="5" t="inlineStr">
        <is>
          <t>N/A</t>
        </is>
      </c>
      <c r="F26" s="5" t="inlineStr">
        <is>
          <t>N/A</t>
        </is>
      </c>
      <c r="G26" s="5" t="n"/>
      <c r="H26" s="3" t="n"/>
      <c r="I26" s="3" t="n"/>
    </row>
    <row r="27" ht="31.95000076293945" customHeight="1" s="10">
      <c r="A27" s="5" t="n">
        <v>20</v>
      </c>
      <c r="B27" s="3" t="inlineStr">
        <is>
          <t>Planilha de riscos final, com o que ocorreu e como foi tratado</t>
        </is>
      </c>
      <c r="C27" s="5" t="inlineStr">
        <is>
          <t>SM</t>
        </is>
      </c>
      <c r="D27" s="5" t="inlineStr">
        <is>
          <t>N/A</t>
        </is>
      </c>
      <c r="E27" s="5" t="inlineStr">
        <is>
          <t>N/A</t>
        </is>
      </c>
      <c r="F27" s="5" t="inlineStr">
        <is>
          <t>N/A</t>
        </is>
      </c>
      <c r="G27" s="5" t="n"/>
      <c r="H27" s="3" t="n"/>
      <c r="I27" s="3" t="n"/>
    </row>
    <row r="28" ht="31.95000076293945" customHeight="1" s="10">
      <c r="A28" s="5" t="n">
        <v>21</v>
      </c>
      <c r="B28" s="3" t="inlineStr">
        <is>
          <t>Capturas das métricas do Jira (dashboard, burndown e velocity) ao longo do semestre</t>
        </is>
      </c>
      <c r="C28" s="5" t="inlineStr">
        <is>
          <t>SM</t>
        </is>
      </c>
      <c r="D28" s="5" t="inlineStr">
        <is>
          <t>N/A</t>
        </is>
      </c>
      <c r="E28" s="5" t="inlineStr">
        <is>
          <t>N/A</t>
        </is>
      </c>
      <c r="F28" s="5" t="inlineStr">
        <is>
          <t>N/A</t>
        </is>
      </c>
      <c r="G28" s="5" t="n"/>
      <c r="H28" s="3" t="n"/>
      <c r="I28" s="3" t="n"/>
    </row>
    <row r="29" ht="22.04999923706055" customHeight="1" s="10">
      <c r="A29" s="5" t="n">
        <v>22</v>
      </c>
      <c r="B29" s="3" t="inlineStr">
        <is>
          <t>Documento de lições aprendidas, conforme o template</t>
        </is>
      </c>
      <c r="C29" s="5" t="inlineStr">
        <is>
          <t>SM</t>
        </is>
      </c>
      <c r="D29" s="5" t="inlineStr">
        <is>
          <t>N/A</t>
        </is>
      </c>
      <c r="E29" s="5" t="inlineStr">
        <is>
          <t>N/A</t>
        </is>
      </c>
      <c r="F29" s="5" t="inlineStr">
        <is>
          <t>N/A</t>
        </is>
      </c>
      <c r="G29" s="5" t="n"/>
      <c r="H29" s="3" t="n"/>
      <c r="I29" s="3" t="n"/>
    </row>
    <row r="30" ht="31.95000076293945" customHeight="1" s="10">
      <c r="A30" s="5" t="n">
        <v>23</v>
      </c>
      <c r="B30" s="3" t="inlineStr">
        <is>
          <t>Documentação de infraestrutura e de como reproduzir o ambiente</t>
        </is>
      </c>
      <c r="C30" s="5" t="inlineStr">
        <is>
          <t>DevOps</t>
        </is>
      </c>
      <c r="D30" s="5" t="inlineStr">
        <is>
          <t>N/A</t>
        </is>
      </c>
      <c r="E30" s="5" t="inlineStr">
        <is>
          <t>N/A</t>
        </is>
      </c>
      <c r="F30" s="5" t="inlineStr">
        <is>
          <t>N/A</t>
        </is>
      </c>
      <c r="G30" s="5" t="n"/>
      <c r="H30" s="3" t="n"/>
      <c r="I30" s="3" t="n"/>
    </row>
    <row r="31" ht="22.04999923706055" customHeight="1" s="10">
      <c r="A31" s="5" t="n">
        <v>24</v>
      </c>
      <c r="B31" s="3" t="inlineStr">
        <is>
          <t>Relatório final de qualidade do projeto</t>
        </is>
      </c>
      <c r="C31" s="5" t="inlineStr">
        <is>
          <t>QA</t>
        </is>
      </c>
      <c r="D31" s="5" t="inlineStr">
        <is>
          <t>N/A</t>
        </is>
      </c>
      <c r="E31" s="5" t="inlineStr">
        <is>
          <t>N/A</t>
        </is>
      </c>
      <c r="F31" s="5" t="inlineStr">
        <is>
          <t>N/A</t>
        </is>
      </c>
      <c r="G31" s="5" t="n"/>
      <c r="H31" s="3" t="n"/>
      <c r="I31" s="3" t="n"/>
    </row>
    <row r="32">
      <c r="A32" s="14" t="inlineStr">
        <is>
          <t>Critérios da equipe (acrescentar conforme o acordo: ex. acessibilidade, desempenho, segurança)</t>
        </is>
      </c>
      <c r="B32" s="15" t="n"/>
      <c r="C32" s="15" t="n"/>
      <c r="D32" s="15" t="n"/>
      <c r="E32" s="15" t="n"/>
      <c r="F32" s="15" t="n"/>
      <c r="G32" s="15" t="n"/>
      <c r="H32" s="15" t="n"/>
      <c r="I32" s="16" t="n"/>
    </row>
    <row r="33" ht="32" customHeight="1" s="10">
      <c r="A33" s="5" t="n">
        <v>25</v>
      </c>
      <c r="B33" s="6" t="inlineStr">
        <is>
          <t>Metas do Plano de Qualidade medidas e registradas no relatório de qualidade da release</t>
        </is>
      </c>
      <c r="C33" s="5" t="inlineStr">
        <is>
          <t>QA</t>
        </is>
      </c>
      <c r="D33" s="5" t="inlineStr">
        <is>
          <t>Sim</t>
        </is>
      </c>
      <c r="E33" s="5" t="n"/>
      <c r="F33" s="5" t="n"/>
      <c r="G33" s="5" t="n"/>
      <c r="H33" s="3" t="n"/>
      <c r="I33" s="3" t="inlineStr">
        <is>
          <t>Resultado R1 e Atendeu? das 15 metas no Relatório de Qualidade R1 e no Plano de Qualidade (28/10/2026): 12 de 13 aplicáveis atendidas; Q-11 não atendida.</t>
        </is>
      </c>
    </row>
    <row r="34" ht="32" customHeight="1" s="10">
      <c r="A34" s="5" t="n">
        <v>26</v>
      </c>
      <c r="B34" s="6" t="inlineStr">
        <is>
          <t>Drivers arquiteturais da release verificados, com resultado obtido e evidência</t>
        </is>
      </c>
      <c r="C34" s="5" t="inlineStr">
        <is>
          <t>QA</t>
        </is>
      </c>
      <c r="D34" s="5" t="inlineStr">
        <is>
          <t>Sim</t>
        </is>
      </c>
      <c r="E34" s="5" t="n"/>
      <c r="F34" s="5" t="n"/>
      <c r="G34" s="5" t="n"/>
      <c r="H34" s="3" t="inlineStr">
        <is>
          <t>GK-69, GK-71 e GK-76 no Jira; backend/tests/test_driver_senha_hash.py, test_autenticacao.py, test_clientes.py; frontend/cypress/e2e; https://github.com/PedroLuvaz/gamekeys-uepb-2026-2/actions/runs/40687889647</t>
        </is>
      </c>
      <c r="I34" s="3" t="inlineStr">
        <is>
          <t>Os 3 drivers da Release 1 concluídos no Jira em 28/10/2026 com testes verdes no CI: DA-SEG-I1-01 senha só como hash (GK-69), DA-SEG-I3-01 token válido nas rotas protegidas (GK-71; perfil na Release 3) e DA-USA-I2-03 mensagens em português (GK-76).</t>
        </is>
      </c>
    </row>
    <row r="35" ht="32" customHeight="1" s="10">
      <c r="A35" s="5" t="n">
        <v>27</v>
      </c>
      <c r="B35" s="6" t="inlineStr">
        <is>
          <t>Teste de usabilidade com colegas no fluxo principal (a partir da Release 2)</t>
        </is>
      </c>
      <c r="C35" s="5" t="inlineStr">
        <is>
          <t>PO</t>
        </is>
      </c>
      <c r="D35" s="5" t="inlineStr">
        <is>
          <t>N/A</t>
        </is>
      </c>
      <c r="E35" s="5" t="n"/>
      <c r="F35" s="5" t="n"/>
      <c r="G35" s="5" t="n"/>
      <c r="H35" s="3" t="n"/>
      <c r="I35" s="3" t="inlineStr">
        <is>
          <t>O teste de usabilidade começa na Release 2 (Q-05 do Plano de Qualidade).</t>
        </is>
      </c>
    </row>
    <row r="36" ht="32" customHeight="1" s="10">
      <c r="A36" s="5" t="n">
        <v>28</v>
      </c>
      <c r="B36" s="6" t="inlineStr">
        <is>
          <t>Versão marcada como lançada no Jira (Releases)</t>
        </is>
      </c>
      <c r="C36" s="5" t="inlineStr">
        <is>
          <t>DevOps</t>
        </is>
      </c>
      <c r="D36" s="5" t="n"/>
      <c r="E36" s="5" t="n"/>
      <c r="F36" s="5" t="n"/>
      <c r="G36" s="5" t="n"/>
      <c r="H36" s="3" t="n"/>
      <c r="I36" s="3" t="inlineStr">
        <is>
          <t>Release 1 ainda não marcada como lançada no Jira em 28/10/2026; marcar no fechamento (29/10).</t>
        </is>
      </c>
    </row>
    <row r="38">
      <c r="B38" s="4" t="inlineStr">
        <is>
          <t>% de critérios cumpridos (Sim ÷ (Sim + Não), ignorando N/A)</t>
        </is>
      </c>
      <c r="D38" s="7">
        <f>IF(COUNTIF(D4:D36,"Sim")+COUNTIF(D4:D36,"Não")=0,"",COUNTIF(D4:D36,"Sim")/(COUNTIF(D4:D36,"Sim")+COUNTIF(D4:D36,"Não")))</f>
        <v/>
      </c>
      <c r="E38" s="7">
        <f>IF(COUNTIF(E4:E36,"Sim")+COUNTIF(E4:E36,"Não")=0,"",COUNTIF(E4:E36,"Sim")/(COUNTIF(E4:E36,"Sim")+COUNTIF(E4:E36,"Não")))</f>
        <v/>
      </c>
      <c r="F38" s="7">
        <f>IF(COUNTIF(F4:F36,"Sim")+COUNTIF(F4:F36,"Não")=0,"",COUNTIF(F4:F36,"Sim")/(COUNTIF(F4:F36,"Sim")+COUNTIF(F4:F36,"Não")))</f>
        <v/>
      </c>
      <c r="G38" s="7">
        <f>IF(COUNTIF(G4:G36,"Sim")+COUNTIF(G4:G36,"Não")=0,"",COUNTIF(G4:G36,"Sim")/(COUNTIF(G4:G36,"Sim")+COUNTIF(G4:G36,"Não")))</f>
        <v/>
      </c>
    </row>
    <row r="39">
      <c r="B39" s="4" t="inlineStr">
        <is>
          <t>Critérios ainda sem resposta</t>
        </is>
      </c>
      <c r="D39" s="5">
        <f>SUMPRODUCT(--($B$4:$B$36&lt;&gt;""),--(LEFT($B$4:$B$36,2)&lt;&gt;"&lt;&lt;"),--(D4:D36=""),--($C$4:$C$36&lt;&gt;""))</f>
        <v/>
      </c>
      <c r="E39" s="5">
        <f>SUMPRODUCT(--($B$4:$B$36&lt;&gt;""),--(LEFT($B$4:$B$36,2)&lt;&gt;"&lt;&lt;"),--(E4:E36=""),--($C$4:$C$36&lt;&gt;""))</f>
        <v/>
      </c>
      <c r="F39" s="5">
        <f>SUMPRODUCT(--($B$4:$B$36&lt;&gt;""),--(LEFT($B$4:$B$36,2)&lt;&gt;"&lt;&lt;"),--(F4:F36=""),--($C$4:$C$36&lt;&gt;""))</f>
        <v/>
      </c>
      <c r="G39" s="5">
        <f>SUMPRODUCT(--($B$4:$B$36&lt;&gt;""),--(LEFT($B$4:$B$36,2)&lt;&gt;"&lt;&lt;"),--(G4:G36=""),--($C$4:$C$36&lt;&gt;""))</f>
        <v/>
      </c>
    </row>
  </sheetData>
  <mergeCells count="6">
    <mergeCell ref="A10:I10"/>
    <mergeCell ref="A32:I32"/>
    <mergeCell ref="A1:I1"/>
    <mergeCell ref="A22:I22"/>
    <mergeCell ref="A4:I4"/>
    <mergeCell ref="A16:I16"/>
  </mergeCells>
  <conditionalFormatting sqref="D4:G36">
    <cfRule type="cellIs" priority="1" operator="equal" dxfId="2">
      <formula>"Sim"</formula>
    </cfRule>
    <cfRule type="cellIs" priority="2" operator="equal" dxfId="1">
      <formula>"Não"</formula>
    </cfRule>
    <cfRule type="cellIs" priority="3" operator="equal" dxfId="0">
      <formula>"N/A"</formula>
    </cfRule>
  </conditionalFormatting>
  <dataValidations count="1">
    <dataValidation sqref="D4:G36 D4:K31" showDropDown="0" showInputMessage="0" showErrorMessage="1" allowBlank="1" errorTitle="Valor inválido" error="Escolha Sim, Não ou N/A." type="list">
      <formula1>"Sim,Não,N/A"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2026-10-28T11:49:38Z</dcterms:created>
  <dcterms:modified xsi:type="dcterms:W3CDTF">2026-10-29T22:54:43Z</dcterms:modified>
</cp:coreProperties>
</file>